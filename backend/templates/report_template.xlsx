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13" firstSheet="0" activeTab="1" autoFilterDateGrouping="1"/>
  </bookViews>
  <sheets>
    <sheet xmlns:r="http://schemas.openxmlformats.org/officeDocument/2006/relationships" name="СПРАВОЧНИК РУКОВОДИТЕЛЕЙ" sheetId="1" state="hidden" r:id="rId1"/>
    <sheet xmlns:r="http://schemas.openxmlformats.org/officeDocument/2006/relationships" name="Арсенал (Д)" sheetId="2" state="visible" r:id="rId2"/>
    <sheet xmlns:r="http://schemas.openxmlformats.org/officeDocument/2006/relationships" name="Арсенал (Н)" sheetId="3" state="visible" r:id="rId3"/>
    <sheet xmlns:r="http://schemas.openxmlformats.org/officeDocument/2006/relationships" name="Реф.сервис (Д)" sheetId="4" state="visible" r:id="rId4"/>
    <sheet xmlns:r="http://schemas.openxmlformats.org/officeDocument/2006/relationships" name="Реф.сервис (Н)" sheetId="5" state="visible" r:id="rId5"/>
    <sheet xmlns:r="http://schemas.openxmlformats.org/officeDocument/2006/relationships" name="Шаркер (Д)" sheetId="6" state="visible" r:id="rId6"/>
    <sheet xmlns:r="http://schemas.openxmlformats.org/officeDocument/2006/relationships" name="Шаркер (Н)" sheetId="7" state="visible" r:id="rId7"/>
    <sheet xmlns:r="http://schemas.openxmlformats.org/officeDocument/2006/relationships" name="ЦКР (Д)" sheetId="8" state="visible" r:id="rId8"/>
    <sheet xmlns:r="http://schemas.openxmlformats.org/officeDocument/2006/relationships" name="ЦКР (Н)" sheetId="9" state="visible" r:id="rId9"/>
    <sheet xmlns:r="http://schemas.openxmlformats.org/officeDocument/2006/relationships" name="Мойка (Д)" sheetId="10" state="visible" r:id="rId10"/>
    <sheet xmlns:r="http://schemas.openxmlformats.org/officeDocument/2006/relationships" name="Мойка ул. Строителей (Н)" sheetId="11" state="visible" r:id="rId11"/>
    <sheet xmlns:r="http://schemas.openxmlformats.org/officeDocument/2006/relationships" name="Мойка Ульяновская (Н)" sheetId="12" state="visible" r:id="rId12"/>
  </sheets>
  <definedNames>
    <definedName name="_xlnm.Print_Area" localSheetId="1">'Арсенал (Д)'!$A$1:$I$26</definedName>
    <definedName name="_xlnm.Print_Area" localSheetId="2">'Арсенал (Н)'!$A$1:$I$42</definedName>
    <definedName name="_xlnm.Print_Area" localSheetId="3">'Реф.сервис (Д)'!$A$1:$I$26</definedName>
    <definedName name="_xlnm.Print_Area" localSheetId="4">'Реф.сервис (Н)'!$A$1:$I$42</definedName>
    <definedName name="_xlnm.Print_Area" localSheetId="5">'Шаркер (Д)'!$A$1:$I$27</definedName>
    <definedName name="_xlnm.Print_Area" localSheetId="6">'Шаркер (Н)'!$A$1:$I$41</definedName>
    <definedName name="_xlnm.Print_Area" localSheetId="7">'ЦКР (Д)'!$A$1:$I$28</definedName>
    <definedName name="_xlnm.Print_Area" localSheetId="8">'ЦКР (Н)'!$A$1:$I$39</definedName>
    <definedName name="_xlnm.Print_Area" localSheetId="9">'Мойка (Д)'!$A$1:$I$17</definedName>
    <definedName name="_xlnm.Print_Area" localSheetId="10">'Мойка ул. Строителей (Н)'!$A$1:$I$31</definedName>
    <definedName name="_xlnm.Print_Area" localSheetId="11">'Мойка Ульяновская (Н)'!$A$1:$I$31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6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i val="1"/>
      <color rgb="FF1F3864"/>
      <sz val="9"/>
    </font>
    <font>
      <name val="Arial"/>
      <family val="2"/>
      <b val="1"/>
      <color rgb="FF333333"/>
      <sz val="10"/>
    </font>
    <font>
      <name val="Arial"/>
      <family val="2"/>
      <sz val="10"/>
    </font>
    <font>
      <name val="Arial"/>
      <family val="2"/>
      <b val="1"/>
      <color rgb="FF1F3864"/>
      <sz val="10"/>
    </font>
    <font>
      <name val="Arial"/>
      <family val="2"/>
      <b val="1"/>
      <color rgb="FFFFFFFF"/>
      <sz val="10"/>
    </font>
    <font>
      <name val="Arial"/>
      <family val="2"/>
      <color rgb="FF333333"/>
      <sz val="10"/>
    </font>
    <font>
      <name val="Arial"/>
      <family val="2"/>
      <i val="1"/>
      <color rgb="FF888888"/>
      <sz val="9"/>
    </font>
    <font>
      <name val="Arial"/>
      <family val="2"/>
      <b val="1"/>
      <sz val="10"/>
    </font>
    <font>
      <name val="Arial"/>
      <family val="2"/>
      <i val="1"/>
      <color rgb="FF888888"/>
      <sz val="10"/>
    </font>
    <font>
      <name val="Calibri"/>
      <charset val="204"/>
      <family val="2"/>
      <b val="1"/>
      <i val="1"/>
      <color theme="1"/>
      <sz val="11"/>
    </font>
    <font>
      <name val="Calibri"/>
      <charset val="204"/>
      <family val="2"/>
      <color rgb="FFFF0000"/>
      <sz val="11"/>
    </font>
    <font>
      <name val="Calibri"/>
      <charset val="204"/>
      <family val="2"/>
      <sz val="11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color rgb="001F2933"/>
      <sz val="9"/>
    </font>
    <font>
      <name val="Arial"/>
      <b val="1"/>
      <color rgb="00FFFFFF"/>
      <sz val="10"/>
    </font>
    <font>
      <name val="Arial"/>
      <b val="1"/>
      <color rgb="001F2933"/>
      <sz val="9"/>
    </font>
    <font>
      <name val="Arial"/>
      <b val="1"/>
      <color rgb="00FFFFFF"/>
      <sz val="15"/>
    </font>
    <font>
      <name val="Arial"/>
      <i val="1"/>
      <color rgb="00666666"/>
      <sz val="10"/>
    </font>
    <font>
      <name val="Arial"/>
      <b val="1"/>
      <color rgb="001F2933"/>
      <sz val="12"/>
    </font>
    <font>
      <name val="Arial"/>
      <color rgb="001F2933"/>
      <sz val="10.5"/>
    </font>
    <font>
      <name val="Arial"/>
      <b val="1"/>
      <color rgb="00FFFFFF"/>
      <sz val="11"/>
    </font>
    <font>
      <name val="Arial"/>
      <b val="1"/>
      <color rgb="001F2933"/>
      <sz val="10.5"/>
    </font>
    <font>
      <b val="1"/>
      <color rgb="FFFFFFFF"/>
    </font>
  </fonts>
  <fills count="2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EFF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70C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C9A400"/>
        <bgColor rgb="FF99CC00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333333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5B9BD5"/>
      </patternFill>
    </fill>
    <fill>
      <patternFill patternType="solid">
        <fgColor rgb="FF1F4E79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medium">
        <color rgb="FF1F3864"/>
      </bottom>
      <diagonal/>
    </border>
    <border>
      <bottom style="medium">
        <color rgb="001F4E79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9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/>
      <right/>
      <top/>
      <bottom style="medium">
        <color rgb="001F4E79"/>
      </bottom>
      <diagonal/>
    </border>
    <border>
      <left/>
      <right/>
      <top style="medium">
        <color rgb="001F4E79"/>
      </top>
      <bottom/>
      <diagonal/>
    </border>
    <border>
      <left/>
      <right style="thin">
        <color rgb="00B7C9D6"/>
      </right>
      <top style="medium">
        <color rgb="001F4E79"/>
      </top>
      <bottom/>
      <diagonal/>
    </border>
    <border>
      <left/>
      <right/>
      <top style="medium">
        <color rgb="001F4E79"/>
      </top>
      <bottom style="thin">
        <color rgb="00B7C9D6"/>
      </bottom>
      <diagonal/>
    </border>
    <border>
      <left/>
      <right style="thin">
        <color rgb="00B7C9D6"/>
      </right>
      <top style="medium">
        <color rgb="001F4E79"/>
      </top>
      <bottom style="thin">
        <color rgb="00B7C9D6"/>
      </bottom>
      <diagonal/>
    </border>
    <border>
      <right/>
      <bottom style="thin">
        <color rgb="00B7C9D6"/>
      </bottom>
    </border>
    <border>
      <right/>
      <bottom style="medium">
        <color rgb="001F4E79"/>
      </bottom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7" fillId="9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 indent="1"/>
    </xf>
    <xf numFmtId="9" fontId="4" fillId="8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3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 indent="1"/>
    </xf>
    <xf numFmtId="3" fontId="9" fillId="5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 indent="1"/>
    </xf>
    <xf numFmtId="165" fontId="4" fillId="8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 indent="1"/>
    </xf>
    <xf numFmtId="0" fontId="11" fillId="0" borderId="0" pivotButton="0" quotePrefix="0" xfId="0"/>
    <xf numFmtId="0" fontId="0" fillId="0" borderId="4" pivotButton="0" quotePrefix="0" xfId="0"/>
    <xf numFmtId="0" fontId="0" fillId="0" borderId="4" applyAlignment="1" pivotButton="0" quotePrefix="0" xfId="0">
      <alignment wrapText="1"/>
    </xf>
    <xf numFmtId="0" fontId="0" fillId="0" borderId="0" pivotButton="0" quotePrefix="0" xfId="0"/>
    <xf numFmtId="0" fontId="7" fillId="7" borderId="4" applyAlignment="1" pivotButton="0" quotePrefix="0" xfId="0">
      <alignment horizontal="left" vertical="center" wrapText="1" indent="1"/>
    </xf>
    <xf numFmtId="0" fontId="11" fillId="16" borderId="0" pivotButton="0" quotePrefix="0" xfId="0"/>
    <xf numFmtId="0" fontId="11" fillId="17" borderId="0" pivotButton="0" quotePrefix="0" xfId="0"/>
    <xf numFmtId="0" fontId="11" fillId="0" borderId="4" pivotButton="0" quotePrefix="0" xfId="0"/>
    <xf numFmtId="0" fontId="0" fillId="0" borderId="4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4" fillId="4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10" fillId="10" borderId="2" applyAlignment="1" pivotButton="0" quotePrefix="0" xfId="0">
      <alignment horizontal="left" vertical="center" wrapText="1" indent="1"/>
    </xf>
    <xf numFmtId="0" fontId="5" fillId="10" borderId="3" applyAlignment="1" pivotButton="0" quotePrefix="0" xfId="0">
      <alignment horizontal="left" vertical="center" indent="1"/>
    </xf>
    <xf numFmtId="0" fontId="6" fillId="11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 wrapText="1" indent="1"/>
    </xf>
    <xf numFmtId="0" fontId="1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14" fillId="18" borderId="17" applyAlignment="1" pivotButton="0" quotePrefix="0" xfId="0">
      <alignment horizontal="center" vertical="center" wrapText="1"/>
    </xf>
    <xf numFmtId="0" fontId="15" fillId="19" borderId="18" applyAlignment="1" pivotButton="0" quotePrefix="0" xfId="0">
      <alignment horizontal="left" vertical="center" wrapText="1"/>
    </xf>
    <xf numFmtId="0" fontId="16" fillId="20" borderId="19" applyAlignment="1" pivotButton="0" quotePrefix="0" xfId="0">
      <alignment horizontal="left" vertical="center" wrapText="1"/>
    </xf>
    <xf numFmtId="0" fontId="16" fillId="20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7" fillId="21" borderId="20" applyAlignment="1" pivotButton="0" quotePrefix="0" xfId="0">
      <alignment horizontal="left" vertical="center" wrapText="1"/>
    </xf>
    <xf numFmtId="0" fontId="18" fillId="19" borderId="19" applyAlignment="1" pivotButton="0" quotePrefix="0" xfId="0">
      <alignment horizontal="center" vertical="center" wrapText="1"/>
    </xf>
    <xf numFmtId="9" fontId="16" fillId="20" borderId="19" applyAlignment="1" pivotButton="0" quotePrefix="0" xfId="0">
      <alignment horizontal="center" vertical="center" wrapText="1"/>
    </xf>
    <xf numFmtId="3" fontId="16" fillId="20" borderId="19" applyAlignment="1" pivotButton="0" quotePrefix="0" xfId="0">
      <alignment horizontal="center" vertical="center" wrapText="1"/>
    </xf>
    <xf numFmtId="164" fontId="16" fillId="20" borderId="19" applyAlignment="1" pivotButton="0" quotePrefix="0" xfId="0">
      <alignment horizontal="center" vertical="center" wrapText="1"/>
    </xf>
    <xf numFmtId="165" fontId="16" fillId="20" borderId="19" applyAlignment="1" pivotButton="0" quotePrefix="0" xfId="0">
      <alignment horizontal="center" vertical="center" wrapText="1"/>
    </xf>
    <xf numFmtId="0" fontId="19" fillId="18" borderId="17" applyAlignment="1" pivotButton="0" quotePrefix="0" xfId="0">
      <alignment horizontal="center" vertical="center" wrapText="1"/>
    </xf>
    <xf numFmtId="0" fontId="20" fillId="19" borderId="18" applyAlignment="1" pivotButton="0" quotePrefix="0" xfId="0">
      <alignment horizontal="left" vertical="center" wrapText="1"/>
    </xf>
    <xf numFmtId="0" fontId="21" fillId="20" borderId="19" applyAlignment="1" pivotButton="0" quotePrefix="0" xfId="0">
      <alignment horizontal="center" vertical="center" wrapText="1"/>
    </xf>
    <xf numFmtId="0" fontId="22" fillId="20" borderId="19" applyAlignment="1" pivotButton="0" quotePrefix="0" xfId="0">
      <alignment horizontal="right" vertical="center" wrapText="1"/>
    </xf>
    <xf numFmtId="0" fontId="21" fillId="20" borderId="19" applyAlignment="1" pivotButton="0" quotePrefix="0" xfId="0">
      <alignment horizontal="left" vertical="center" wrapText="1"/>
    </xf>
    <xf numFmtId="0" fontId="23" fillId="21" borderId="20" applyAlignment="1" pivotButton="0" quotePrefix="0" xfId="0">
      <alignment horizontal="left" vertical="center" wrapText="1"/>
    </xf>
    <xf numFmtId="0" fontId="24" fillId="19" borderId="19" applyAlignment="1" pivotButton="0" quotePrefix="0" xfId="0">
      <alignment horizontal="center" vertical="center" wrapText="1"/>
    </xf>
    <xf numFmtId="0" fontId="22" fillId="20" borderId="19" applyAlignment="1" pivotButton="0" quotePrefix="0" xfId="0">
      <alignment horizontal="left" vertical="center" wrapText="1"/>
    </xf>
    <xf numFmtId="0" fontId="22" fillId="20" borderId="19" applyAlignment="1" pivotButton="0" quotePrefix="0" xfId="0">
      <alignment horizontal="center" vertical="center" wrapText="1"/>
    </xf>
    <xf numFmtId="9" fontId="22" fillId="20" borderId="19" applyAlignment="1" pivotButton="0" quotePrefix="0" xfId="0">
      <alignment horizontal="center" vertical="center" wrapText="1"/>
    </xf>
    <xf numFmtId="3" fontId="22" fillId="20" borderId="19" applyAlignment="1" pivotButton="0" quotePrefix="0" xfId="0">
      <alignment horizontal="center" vertical="center" wrapText="1"/>
    </xf>
    <xf numFmtId="164" fontId="22" fillId="20" borderId="19" applyAlignment="1" pivotButton="0" quotePrefix="0" xfId="0">
      <alignment horizontal="center" vertical="center" wrapText="1"/>
    </xf>
    <xf numFmtId="165" fontId="22" fillId="20" borderId="19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30" pivotButton="0" quotePrefix="0" xfId="0"/>
    <xf numFmtId="4" fontId="22" fillId="20" borderId="19" applyAlignment="1" pivotButton="0" quotePrefix="0" xfId="0">
      <alignment horizontal="center" vertical="center" wrapText="1"/>
    </xf>
    <xf numFmtId="10" fontId="22" fillId="20" borderId="19" applyAlignment="1" pivotButton="0" quotePrefix="0" xfId="0">
      <alignment horizontal="center" vertical="center" wrapText="1"/>
    </xf>
    <xf numFmtId="4" fontId="0" fillId="0" borderId="0" applyAlignment="1" pivotButton="0" quotePrefix="0" xfId="0">
      <alignment vertical="center" wrapText="1"/>
    </xf>
    <xf numFmtId="4" fontId="0" fillId="0" borderId="29" pivotButton="0" quotePrefix="0" xfId="0"/>
    <xf numFmtId="4" fontId="0" fillId="0" borderId="25" pivotButton="0" quotePrefix="0" xfId="0"/>
    <xf numFmtId="4" fontId="0" fillId="0" borderId="24" pivotButton="0" quotePrefix="0" xfId="0"/>
    <xf numFmtId="10" fontId="0" fillId="0" borderId="25" pivotButton="0" quotePrefix="0" xfId="0"/>
    <xf numFmtId="0" fontId="25" fillId="22" borderId="33" applyAlignment="1" pivotButton="0" quotePrefix="0" xfId="0">
      <alignment vertical="center"/>
    </xf>
    <xf numFmtId="0" fontId="0" fillId="23" borderId="33" applyAlignment="1" pivotButton="0" quotePrefix="0" xfId="0">
      <alignment vertical="center"/>
    </xf>
    <xf numFmtId="0" fontId="19" fillId="18" borderId="32" applyAlignment="1" pivotButton="0" quotePrefix="0" xfId="0">
      <alignment horizontal="center" vertical="center" wrapText="1"/>
    </xf>
    <xf numFmtId="0" fontId="20" fillId="19" borderId="31" applyAlignment="1" pivotButton="0" quotePrefix="0" xfId="0">
      <alignment horizontal="left" vertical="center" wrapText="1"/>
    </xf>
    <xf numFmtId="0" fontId="24" fillId="23" borderId="19" applyAlignment="1" pivotButton="0" quotePrefix="0" xfId="0">
      <alignment horizontal="center" vertical="center" wrapText="1"/>
    </xf>
    <xf numFmtId="4" fontId="22" fillId="23" borderId="19" applyAlignment="1" pivotButton="0" quotePrefix="0" xfId="0">
      <alignment horizontal="center" vertical="center" wrapText="1"/>
    </xf>
    <xf numFmtId="0" fontId="22" fillId="23" borderId="19" applyAlignment="1" pivotButton="0" quotePrefix="0" xfId="0">
      <alignment horizontal="center" vertical="center" wrapText="1"/>
    </xf>
    <xf numFmtId="4" fontId="0" fillId="23" borderId="0" applyAlignment="1" pivotButton="0" quotePrefix="0" xfId="0">
      <alignment vertical="center" wrapText="1"/>
    </xf>
    <xf numFmtId="0" fontId="0" fillId="23" borderId="0" applyAlignment="1" pivotButton="0" quotePrefix="0" xfId="0">
      <alignment vertical="center" wrapText="1"/>
    </xf>
    <xf numFmtId="10" fontId="24" fillId="19" borderId="19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7030A0"/>
      <rgbColor rgb="FFFFF2CC"/>
      <rgbColor rgb="FFDDEE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2F2F2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400"/>
      <rgbColor rgb="FFC55A11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24" customWidth="1" style="47" min="2" max="2"/>
  </cols>
  <sheetData>
    <row r="1">
      <c r="A1" s="88" t="inlineStr">
        <is>
          <t>Подразделение</t>
        </is>
      </c>
      <c r="B1" s="88" t="inlineStr">
        <is>
          <t>ФИО</t>
        </is>
      </c>
    </row>
    <row r="2">
      <c r="A2" s="89" t="inlineStr">
        <is>
          <t>Арсенал</t>
        </is>
      </c>
      <c r="B2" s="89" t="inlineStr">
        <is>
          <t>Мигунов А.А.</t>
        </is>
      </c>
    </row>
    <row r="3">
      <c r="A3" s="89" t="inlineStr">
        <is>
          <t>Рефика Сервис</t>
        </is>
      </c>
      <c r="B3" s="89" t="inlineStr">
        <is>
          <t>Михеев А.Н.</t>
        </is>
      </c>
    </row>
    <row r="4">
      <c r="A4" s="89" t="inlineStr">
        <is>
          <t>Шаркер</t>
        </is>
      </c>
      <c r="B4" s="89" t="inlineStr">
        <is>
          <t>Михеев А.Н.</t>
        </is>
      </c>
    </row>
    <row r="5">
      <c r="A5" s="89" t="inlineStr">
        <is>
          <t>ЦКР</t>
        </is>
      </c>
      <c r="B5" s="89" t="inlineStr">
        <is>
          <t>Игонин А.П.</t>
        </is>
      </c>
    </row>
    <row r="6">
      <c r="A6" s="89" t="inlineStr">
        <is>
          <t>Мойка ул. Строителей</t>
        </is>
      </c>
      <c r="B6" s="89" t="inlineStr">
        <is>
          <t>Расторгуев С.В.</t>
        </is>
      </c>
    </row>
    <row r="7">
      <c r="A7" s="89" t="inlineStr">
        <is>
          <t>Мойка ул. Ульяновская</t>
        </is>
      </c>
      <c r="B7" s="89" t="inlineStr">
        <is>
          <t>Расторгуев С.В.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zoomScaleNormal="100" workbookViewId="0">
      <selection activeCell="J1" sqref="J1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ЕЖЕДНЕВНЫЙ ОТЧЁТ — АРСЕНАЛ  |  Данные из 1С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Дата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26" customHeight="1" s="47">
      <c r="A5" s="64" t="n"/>
      <c r="B5" s="65" t="inlineStr">
        <is>
          <t>Руководитель (авто):</t>
        </is>
      </c>
      <c r="C5" s="64" t="n"/>
      <c r="D5" s="66" t="n"/>
      <c r="E5" s="66" t="n"/>
      <c r="F5" s="66" t="n"/>
      <c r="G5" s="66" t="n"/>
      <c r="H5" s="66" t="n"/>
      <c r="I5" s="66" t="n"/>
    </row>
    <row r="6" ht="33" customHeight="1" s="47">
      <c r="A6" s="67" t="inlineStr">
        <is>
          <t xml:space="preserve">  ВЫРАБОТКА</t>
        </is>
      </c>
      <c r="B6" s="79" t="n"/>
      <c r="C6" s="79" t="n"/>
      <c r="D6" s="79" t="n"/>
      <c r="E6" s="79" t="n"/>
      <c r="F6" s="79" t="n"/>
      <c r="G6" s="79" t="n"/>
      <c r="H6" s="79" t="n"/>
      <c r="I6" s="80" t="n"/>
    </row>
    <row r="7" ht="33" customHeight="1" s="47">
      <c r="A7" s="68" t="n"/>
      <c r="B7" s="68" t="inlineStr">
        <is>
          <t>Показатель</t>
        </is>
      </c>
      <c r="C7" s="68" t="n"/>
      <c r="D7" s="68" t="inlineStr">
        <is>
          <t>ПЛАН</t>
        </is>
      </c>
      <c r="E7" s="68" t="n"/>
      <c r="F7" s="68" t="inlineStr">
        <is>
          <t>ФАКТ (1С)</t>
        </is>
      </c>
      <c r="G7" s="68" t="n"/>
      <c r="H7" s="68" t="inlineStr">
        <is>
          <t>%</t>
        </is>
      </c>
      <c r="I7" s="68" t="inlineStr">
        <is>
          <t>Ед.</t>
        </is>
      </c>
    </row>
    <row r="8" ht="33" customHeight="1" s="47">
      <c r="A8" s="69" t="n"/>
      <c r="B8" s="69" t="inlineStr">
        <is>
          <t>Нормочасы за день — общая выработка</t>
        </is>
      </c>
      <c r="C8" s="70" t="n"/>
      <c r="D8" s="81" t="n"/>
      <c r="E8" s="70" t="n"/>
      <c r="F8" s="81" t="n"/>
      <c r="G8" s="70" t="n"/>
      <c r="H8" s="82">
        <f>IFERROR(IF(AND(ISNUMBER(D8),ISNUMBER(F8),D8&gt;0),F8/D8,"—"),"—")</f>
        <v/>
      </c>
      <c r="I8" s="70" t="inlineStr">
        <is>
          <t>нч</t>
        </is>
      </c>
    </row>
    <row r="9" ht="33" customHeight="1" s="47">
      <c r="A9" s="69" t="n"/>
      <c r="B9" s="69" t="inlineStr">
        <is>
          <t>Выработка на 1 мастера (нч/чел.)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нч/чел</t>
        </is>
      </c>
    </row>
    <row r="10" ht="33" customHeight="1" s="47">
      <c r="A10" s="69" t="n"/>
      <c r="B10" s="69" t="inlineStr">
        <is>
          <t>Закрыто ЗН за день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шт.</t>
        </is>
      </c>
    </row>
    <row r="11" ht="8" customHeight="1" s="47">
      <c r="A11" s="55" t="n"/>
      <c r="B11" s="55" t="n"/>
      <c r="C11" s="55" t="n"/>
      <c r="D11" s="83" t="n"/>
      <c r="E11" s="55" t="n"/>
      <c r="F11" s="83" t="n"/>
      <c r="G11" s="55" t="n"/>
      <c r="H11" s="83" t="n"/>
      <c r="I11" s="55" t="n"/>
    </row>
    <row r="12" ht="33" customHeight="1" s="47">
      <c r="A12" s="67" t="inlineStr">
        <is>
          <t xml:space="preserve">  ФИНАНСЫ</t>
        </is>
      </c>
      <c r="B12" s="79" t="n"/>
      <c r="C12" s="79" t="n"/>
      <c r="D12" s="79" t="n"/>
      <c r="E12" s="79" t="n"/>
      <c r="F12" s="79" t="n"/>
      <c r="G12" s="79" t="n"/>
      <c r="H12" s="79" t="n"/>
      <c r="I12" s="80" t="n"/>
    </row>
    <row r="13" ht="33" customHeight="1" s="47">
      <c r="A13" s="68" t="n"/>
      <c r="B13" s="68" t="inlineStr">
        <is>
          <t>Показатель</t>
        </is>
      </c>
      <c r="C13" s="68" t="n"/>
      <c r="D13" s="68" t="inlineStr">
        <is>
          <t>ПЛАН</t>
        </is>
      </c>
      <c r="E13" s="68" t="n"/>
      <c r="F13" s="68" t="inlineStr">
        <is>
          <t>ФАКТ (1С)</t>
        </is>
      </c>
      <c r="G13" s="68" t="n"/>
      <c r="H13" s="68" t="inlineStr">
        <is>
          <t>%</t>
        </is>
      </c>
      <c r="I13" s="68" t="inlineStr">
        <is>
          <t>Ед.</t>
        </is>
      </c>
    </row>
    <row r="14" ht="33" customHeight="1" s="47">
      <c r="A14" s="69" t="n"/>
      <c r="B14" s="69" t="inlineStr">
        <is>
          <t>Выручка за день</t>
        </is>
      </c>
      <c r="C14" s="70" t="n"/>
      <c r="D14" s="81" t="n"/>
      <c r="E14" s="70" t="n"/>
      <c r="F14" s="81" t="n"/>
      <c r="G14" s="70" t="n"/>
      <c r="H14" s="82">
        <f>IFERROR(IF(AND(ISNUMBER(D14),ISNUMBER(F14),D14&gt;0),F14/D14,"—"),"—")</f>
        <v/>
      </c>
      <c r="I14" s="70" t="inlineStr">
        <is>
          <t>руб.</t>
        </is>
      </c>
    </row>
    <row r="15" ht="33" customHeight="1" s="47">
      <c r="A15" s="69" t="n"/>
      <c r="B15" s="69" t="inlineStr">
        <is>
          <t>Себестоимость ЗЧ</t>
        </is>
      </c>
      <c r="C15" s="70" t="n"/>
      <c r="D15" s="81" t="n"/>
      <c r="E15" s="70" t="n"/>
      <c r="F15" s="81" t="n"/>
      <c r="G15" s="70" t="n"/>
      <c r="H15" s="82">
        <f>IFERROR(IF(AND(ISNUMBER(D15),ISNUMBER(F15),D15&gt;0),F15/D15,"—"),"—")</f>
        <v/>
      </c>
      <c r="I15" s="70" t="inlineStr">
        <is>
          <t>руб.</t>
        </is>
      </c>
    </row>
    <row r="16" ht="33" customHeight="1" s="47">
      <c r="A16" s="69" t="n"/>
      <c r="B16" s="69" t="inlineStr">
        <is>
          <t>Маржа (Выручка − Себест. ЗЧ)</t>
        </is>
      </c>
      <c r="C16" s="70" t="n"/>
      <c r="D16" s="81">
        <f>IFERROR(D14-D15,"—")</f>
        <v/>
      </c>
      <c r="E16" s="70" t="n"/>
      <c r="F16" s="81">
        <f>IFERROR(F14-F15,"—")</f>
        <v/>
      </c>
      <c r="G16" s="70" t="n"/>
      <c r="H16" s="82">
        <f>IFERROR(IF(AND(ISNUMBER(D16),ISNUMBER(F16),D16&gt;0),F16/D16,"—"),"—")</f>
        <v/>
      </c>
      <c r="I16" s="70" t="inlineStr">
        <is>
          <t>руб.</t>
        </is>
      </c>
    </row>
    <row r="17" ht="33" customHeight="1" s="47">
      <c r="A17" s="69" t="n"/>
      <c r="B17" s="69" t="inlineStr">
        <is>
          <t>Маржинальность</t>
        </is>
      </c>
      <c r="C17" s="70" t="n"/>
      <c r="D17" s="82">
        <f>IFERROR(D16/D14,"—")</f>
        <v/>
      </c>
      <c r="E17" s="70" t="n"/>
      <c r="F17" s="82">
        <f>IFERROR(F16/F14,"—")</f>
        <v/>
      </c>
      <c r="G17" s="70" t="n"/>
      <c r="H17" s="82">
        <f>IFERROR(IF(AND(ISNUMBER(D17),ISNUMBER(F17),D17&gt;0),F17/D17,"—"),"—")</f>
        <v/>
      </c>
      <c r="I17" s="70" t="inlineStr">
        <is>
          <t>%</t>
        </is>
      </c>
    </row>
    <row r="18" ht="33" customHeight="1" s="47">
      <c r="A18" s="69" t="n"/>
      <c r="B18" s="69" t="inlineStr">
        <is>
          <t>Средний чек (руб./ЗН)</t>
        </is>
      </c>
      <c r="C18" s="70" t="n"/>
      <c r="D18" s="81">
        <f>IFERROR(D14/D10,"—")</f>
        <v/>
      </c>
      <c r="E18" s="70" t="n"/>
      <c r="F18" s="81">
        <f>IFERROR(F14/F10,"—")</f>
        <v/>
      </c>
      <c r="G18" s="70" t="n"/>
      <c r="H18" s="82">
        <f>IFERROR(IF(AND(ISNUMBER(D18),ISNUMBER(F18),D18&gt;0),F18/D18,"—"),"—")</f>
        <v/>
      </c>
      <c r="I18" s="70" t="inlineStr">
        <is>
          <t>руб.</t>
        </is>
      </c>
    </row>
    <row r="19" ht="33" customHeight="1" s="47">
      <c r="A19" s="69" t="n"/>
      <c r="B19" s="69" t="inlineStr">
        <is>
          <t>Наценка на ЗЧ</t>
        </is>
      </c>
      <c r="C19" s="70" t="n"/>
      <c r="D19" s="82" t="n"/>
      <c r="E19" s="70" t="n"/>
      <c r="F19" s="82" t="n"/>
      <c r="G19" s="70" t="n"/>
      <c r="H19" s="82">
        <f>IFERROR(IF(AND(ISNUMBER(D19),ISNUMBER(F19),D19&gt;0),F19/D19,"—"),"—")</f>
        <v/>
      </c>
      <c r="I19" s="70" t="inlineStr">
        <is>
          <t>%</t>
        </is>
      </c>
    </row>
    <row r="20" ht="8" customHeight="1" s="47">
      <c r="A20" s="55" t="n"/>
      <c r="B20" s="55" t="n"/>
      <c r="C20" s="55" t="n"/>
      <c r="D20" s="83" t="n"/>
      <c r="E20" s="55" t="n"/>
      <c r="F20" s="83" t="n"/>
      <c r="G20" s="55" t="n"/>
      <c r="H20" s="83" t="n"/>
      <c r="I20" s="55" t="n"/>
    </row>
    <row r="21" ht="33" customHeight="1" s="47">
      <c r="A21" s="67" t="inlineStr">
        <is>
          <t xml:space="preserve">  СНАБЖЕНИЕ (из 1С)</t>
        </is>
      </c>
      <c r="B21" s="79" t="n"/>
      <c r="C21" s="79" t="n"/>
      <c r="D21" s="79" t="n"/>
      <c r="E21" s="79" t="n"/>
      <c r="F21" s="79" t="n"/>
      <c r="G21" s="79" t="n"/>
      <c r="H21" s="79" t="n"/>
      <c r="I21" s="80" t="n"/>
    </row>
    <row r="22" ht="33" customHeight="1" s="47">
      <c r="A22" s="68" t="n"/>
      <c r="B22" s="68" t="inlineStr">
        <is>
          <t>Показатель</t>
        </is>
      </c>
      <c r="C22" s="68" t="n"/>
      <c r="D22" s="68" t="inlineStr">
        <is>
          <t>Значение (1С)</t>
        </is>
      </c>
      <c r="E22" s="77" t="n"/>
      <c r="F22" s="78" t="n"/>
      <c r="G22" s="68" t="n"/>
      <c r="H22" s="68" t="inlineStr">
        <is>
          <t>Норма</t>
        </is>
      </c>
      <c r="I22" s="78" t="n"/>
    </row>
    <row r="23" ht="33" customHeight="1" s="47">
      <c r="A23" s="69" t="n"/>
      <c r="B23" s="69" t="inlineStr">
        <is>
          <t>Незакрытые ЗН старше 1 дня (шт.)</t>
        </is>
      </c>
      <c r="C23" s="70" t="n"/>
      <c r="D23" s="81" t="n"/>
      <c r="E23" s="77" t="n"/>
      <c r="F23" s="78" t="n"/>
      <c r="G23" s="70" t="n"/>
      <c r="H23" s="70" t="inlineStr">
        <is>
          <t>Цель: 0</t>
        </is>
      </c>
      <c r="I23" s="78" t="n"/>
    </row>
    <row r="24" ht="33" customHeight="1" s="47">
      <c r="A24" s="69" t="n"/>
      <c r="B24" s="69" t="inlineStr">
        <is>
          <t>ЗН без движения &gt; 2 дней (шт.)</t>
        </is>
      </c>
      <c r="C24" s="70" t="n"/>
      <c r="D24" s="81" t="n"/>
      <c r="E24" s="77" t="n"/>
      <c r="F24" s="78" t="n"/>
      <c r="G24" s="70" t="n"/>
      <c r="H24" s="70" t="inlineStr">
        <is>
          <t>Цель: 0</t>
        </is>
      </c>
      <c r="I24" s="78" t="n"/>
    </row>
    <row r="25" ht="8" customHeight="1" s="47">
      <c r="A25" s="55" t="n"/>
      <c r="B25" s="55" t="n"/>
      <c r="C25" s="55" t="n"/>
      <c r="D25" s="83" t="n"/>
      <c r="E25" s="55" t="n"/>
      <c r="F25" s="83" t="n"/>
      <c r="G25" s="55" t="n"/>
      <c r="H25" s="83" t="n"/>
      <c r="I25" s="55" t="n"/>
    </row>
    <row r="26" ht="33" customHeight="1" s="47">
      <c r="A26" s="69" t="inlineStr">
        <is>
          <t>🤖 Генерируется автоматически в 11:00 | Данные: 1С Альфа-Авто | Отправка: Битрикс24</t>
        </is>
      </c>
      <c r="B26" s="77" t="n"/>
      <c r="C26" s="77" t="n"/>
      <c r="D26" s="77" t="n"/>
      <c r="E26" s="77" t="n"/>
      <c r="F26" s="77" t="n"/>
      <c r="G26" s="77" t="n"/>
      <c r="H26" s="77" t="n"/>
      <c r="I26" s="78" t="n"/>
    </row>
  </sheetData>
  <mergeCells count="14">
    <mergeCell ref="A2:I2"/>
    <mergeCell ref="D23:F23"/>
    <mergeCell ref="D4:I4"/>
    <mergeCell ref="H24:I24"/>
    <mergeCell ref="D22:F22"/>
    <mergeCell ref="A1:I1"/>
    <mergeCell ref="H23:I23"/>
    <mergeCell ref="D3:I3"/>
    <mergeCell ref="A6:I6"/>
    <mergeCell ref="H22:I22"/>
    <mergeCell ref="A12:I12"/>
    <mergeCell ref="A26:I26"/>
    <mergeCell ref="A21:I21"/>
    <mergeCell ref="D24:F24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zoomScaleNormal="100" workbookViewId="0">
      <selection activeCell="D20" sqref="D20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ЕЖЕНЕДЕЛЬНЫЙ ОТЧЁТ — АРСЕНАЛ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Неделя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30" customHeight="1" s="47">
      <c r="A5" s="64" t="n"/>
      <c r="B5" s="65" t="inlineStr">
        <is>
          <t>Руководитель (авто):</t>
        </is>
      </c>
      <c r="C5" s="64" t="n"/>
      <c r="D5" s="66" t="n"/>
      <c r="E5" s="77" t="n"/>
      <c r="F5" s="77" t="n"/>
      <c r="G5" s="77" t="n"/>
      <c r="H5" s="77" t="n"/>
      <c r="I5" s="78" t="n"/>
    </row>
    <row r="6" ht="8" customHeight="1" s="47">
      <c r="A6" s="55" t="n"/>
      <c r="B6" s="55" t="n"/>
      <c r="C6" s="55" t="n"/>
      <c r="D6" s="55" t="n"/>
      <c r="E6" s="55" t="n"/>
      <c r="F6" s="55" t="n"/>
      <c r="G6" s="55" t="n"/>
      <c r="H6" s="55" t="n"/>
      <c r="I6" s="55" t="n"/>
    </row>
    <row r="7" ht="33" customHeight="1" s="47">
      <c r="A7" s="67" t="inlineStr">
        <is>
          <t xml:space="preserve">  1.  ВЫРАБОТКА  [из 1С]</t>
        </is>
      </c>
      <c r="B7" s="79" t="n"/>
      <c r="C7" s="79" t="n"/>
      <c r="D7" s="79" t="n"/>
      <c r="E7" s="79" t="n"/>
      <c r="F7" s="79" t="n"/>
      <c r="G7" s="79" t="n"/>
      <c r="H7" s="79" t="n"/>
      <c r="I7" s="80" t="n"/>
    </row>
    <row r="8" ht="33" customHeight="1" s="47">
      <c r="A8" s="68" t="n"/>
      <c r="B8" s="68" t="inlineStr">
        <is>
          <t>Показатель</t>
        </is>
      </c>
      <c r="C8" s="68" t="n"/>
      <c r="D8" s="68" t="inlineStr">
        <is>
          <t>ПЛАН</t>
        </is>
      </c>
      <c r="E8" s="68" t="n"/>
      <c r="F8" s="68" t="inlineStr">
        <is>
          <t>ФАКТ (1С)</t>
        </is>
      </c>
      <c r="G8" s="68" t="n"/>
      <c r="H8" s="68" t="inlineStr">
        <is>
          <t>%</t>
        </is>
      </c>
      <c r="I8" s="68" t="inlineStr">
        <is>
          <t>Ед.</t>
        </is>
      </c>
    </row>
    <row r="9" ht="33" customHeight="1" s="47">
      <c r="A9" s="69" t="n"/>
      <c r="B9" s="69" t="inlineStr">
        <is>
          <t>Нормочасы за неделю (7 дней)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</t>
        </is>
      </c>
    </row>
    <row r="10" ht="33" customHeight="1" s="47">
      <c r="A10" s="69" t="n"/>
      <c r="B10" s="69" t="inlineStr">
        <is>
          <t>Ср. выработка мастера в день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нч/чел</t>
        </is>
      </c>
    </row>
    <row r="11" ht="33" customHeight="1" s="47">
      <c r="A11" s="69" t="n"/>
      <c r="B11" s="69" t="inlineStr">
        <is>
          <t>Закрыто ЗН за неделю</t>
        </is>
      </c>
      <c r="C11" s="70" t="n"/>
      <c r="D11" s="81" t="n"/>
      <c r="E11" s="70" t="n"/>
      <c r="F11" s="81" t="n"/>
      <c r="G11" s="70" t="n"/>
      <c r="H11" s="82">
        <f>IFERROR(IF(AND(ISNUMBER(D11),ISNUMBER(F11),D11&gt;0),F11/D11,"—"),"—")</f>
        <v/>
      </c>
      <c r="I11" s="70" t="inlineStr">
        <is>
          <t>шт.</t>
        </is>
      </c>
    </row>
    <row r="12" ht="8" customHeight="1" s="47">
      <c r="A12" s="55" t="n"/>
      <c r="B12" s="55" t="n"/>
      <c r="C12" s="55" t="n"/>
      <c r="D12" s="83" t="n"/>
      <c r="E12" s="55" t="n"/>
      <c r="F12" s="83" t="n"/>
      <c r="G12" s="55" t="n"/>
      <c r="H12" s="83" t="n"/>
      <c r="I12" s="55" t="n"/>
    </row>
    <row r="13" ht="33" customHeight="1" s="47">
      <c r="A13" s="67" t="inlineStr">
        <is>
          <t xml:space="preserve">  2.  ФИНАНСЫ  [из 1С]</t>
        </is>
      </c>
      <c r="B13" s="79" t="n"/>
      <c r="C13" s="79" t="n"/>
      <c r="D13" s="79" t="n"/>
      <c r="E13" s="79" t="n"/>
      <c r="F13" s="79" t="n"/>
      <c r="G13" s="79" t="n"/>
      <c r="H13" s="79" t="n"/>
      <c r="I13" s="80" t="n"/>
    </row>
    <row r="14" ht="33" customHeight="1" s="47">
      <c r="A14" s="68" t="n"/>
      <c r="B14" s="68" t="inlineStr">
        <is>
          <t>Показатель</t>
        </is>
      </c>
      <c r="C14" s="68" t="n"/>
      <c r="D14" s="68" t="inlineStr">
        <is>
          <t>ПЛАН</t>
        </is>
      </c>
      <c r="E14" s="68" t="n"/>
      <c r="F14" s="68" t="inlineStr">
        <is>
          <t>ФАКТ (1С)</t>
        </is>
      </c>
      <c r="G14" s="68" t="n"/>
      <c r="H14" s="68" t="inlineStr">
        <is>
          <t>%</t>
        </is>
      </c>
      <c r="I14" s="68" t="inlineStr">
        <is>
          <t>Ед.</t>
        </is>
      </c>
    </row>
    <row r="15" ht="33" customHeight="1" s="47">
      <c r="A15" s="69" t="n"/>
      <c r="B15" s="69" t="inlineStr">
        <is>
          <t>Выручка за неделю</t>
        </is>
      </c>
      <c r="C15" s="70" t="n"/>
      <c r="D15" s="81" t="n"/>
      <c r="E15" s="70" t="n"/>
      <c r="F15" s="81" t="n"/>
      <c r="G15" s="70" t="n"/>
      <c r="H15" s="82">
        <f>IFERROR(IF(AND(ISNUMBER(D15),ISNUMBER(F15),D15&gt;0),F15/D15,"—"),"—")</f>
        <v/>
      </c>
      <c r="I15" s="70" t="inlineStr">
        <is>
          <t>руб.</t>
        </is>
      </c>
    </row>
    <row r="16" ht="33" customHeight="1" s="47">
      <c r="A16" s="69" t="n"/>
      <c r="B16" s="69" t="inlineStr">
        <is>
          <t>Себестоимость ЗЧ</t>
        </is>
      </c>
      <c r="C16" s="70" t="n"/>
      <c r="D16" s="81" t="n"/>
      <c r="E16" s="70" t="n"/>
      <c r="F16" s="81" t="n"/>
      <c r="G16" s="70" t="n"/>
      <c r="H16" s="82">
        <f>IFERROR(IF(AND(ISNUMBER(D16),ISNUMBER(F16),D16&gt;0),F16/D16,"—"),"—")</f>
        <v/>
      </c>
      <c r="I16" s="70" t="inlineStr">
        <is>
          <t>руб.</t>
        </is>
      </c>
    </row>
    <row r="17" ht="33" customHeight="1" s="47">
      <c r="A17" s="69" t="n"/>
      <c r="B17" s="69" t="inlineStr">
        <is>
          <t>Маржа</t>
        </is>
      </c>
      <c r="C17" s="70" t="n"/>
      <c r="D17" s="81">
        <f>IFERROR(D15-D16,"—")</f>
        <v/>
      </c>
      <c r="E17" s="70" t="n"/>
      <c r="F17" s="81">
        <f>IFERROR(F15-F16,"—")</f>
        <v/>
      </c>
      <c r="G17" s="70" t="n"/>
      <c r="H17" s="82">
        <f>IFERROR(IF(AND(ISNUMBER(D17),ISNUMBER(F17),D17&gt;0),F17/D17,"—"),"—")</f>
        <v/>
      </c>
      <c r="I17" s="70" t="inlineStr">
        <is>
          <t>руб.</t>
        </is>
      </c>
    </row>
    <row r="18" ht="33" customHeight="1" s="47">
      <c r="A18" s="69" t="n"/>
      <c r="B18" s="69" t="inlineStr">
        <is>
          <t>Маржинальность</t>
        </is>
      </c>
      <c r="C18" s="70" t="n"/>
      <c r="D18" s="82">
        <f>IFERROR(D17/D15,"—")</f>
        <v/>
      </c>
      <c r="E18" s="70" t="n"/>
      <c r="F18" s="82">
        <f>IFERROR(F17/F15,"—")</f>
        <v/>
      </c>
      <c r="G18" s="70" t="n"/>
      <c r="H18" s="82">
        <f>IFERROR(IF(AND(ISNUMBER(D18),ISNUMBER(F18),D18&gt;0),F18/D18,"—"),"—")</f>
        <v/>
      </c>
      <c r="I18" s="70" t="inlineStr">
        <is>
          <t>%</t>
        </is>
      </c>
    </row>
    <row r="19" ht="33" customHeight="1" s="47">
      <c r="A19" s="69" t="n"/>
      <c r="B19" s="69" t="inlineStr">
        <is>
          <t>Средний чек</t>
        </is>
      </c>
      <c r="C19" s="70" t="n"/>
      <c r="D19" s="81">
        <f>IFERROR(D15/D11,"—")</f>
        <v/>
      </c>
      <c r="E19" s="70" t="n"/>
      <c r="F19" s="81">
        <f>IFERROR(F15/F11,"—")</f>
        <v/>
      </c>
      <c r="G19" s="70" t="n"/>
      <c r="H19" s="82">
        <f>IFERROR(IF(AND(ISNUMBER(D19),ISNUMBER(F19),D19&gt;0),F19/D19,"—"),"—")</f>
        <v/>
      </c>
      <c r="I19" s="70" t="inlineStr">
        <is>
          <t>руб.</t>
        </is>
      </c>
    </row>
    <row r="20" ht="33" customHeight="1" s="47">
      <c r="A20" s="69" t="n"/>
      <c r="B20" s="69" t="inlineStr">
        <is>
          <t>Наценка на ЗЧ</t>
        </is>
      </c>
      <c r="C20" s="70" t="n"/>
      <c r="D20" s="82" t="n"/>
      <c r="E20" s="70" t="n"/>
      <c r="F20" s="82" t="n"/>
      <c r="G20" s="70" t="n"/>
      <c r="H20" s="82">
        <f>IFERROR(IF(AND(ISNUMBER(D20),ISNUMBER(F20),D20&gt;0),F20/D20,"—"),"—")</f>
        <v/>
      </c>
      <c r="I20" s="70" t="inlineStr">
        <is>
          <t>%</t>
        </is>
      </c>
    </row>
    <row r="21" ht="8" customHeight="1" s="47">
      <c r="A21" s="55" t="n"/>
      <c r="B21" s="55" t="n"/>
      <c r="C21" s="55" t="n"/>
      <c r="D21" s="83" t="n"/>
      <c r="E21" s="55" t="n"/>
      <c r="F21" s="83" t="n"/>
      <c r="G21" s="55" t="n"/>
      <c r="H21" s="83" t="n"/>
      <c r="I21" s="55" t="n"/>
    </row>
    <row r="22" ht="33" customHeight="1" s="47">
      <c r="A22" s="67" t="inlineStr">
        <is>
          <t xml:space="preserve">  3.  ВЫРУЧКА ПО ДНЯМ  [из 1С]</t>
        </is>
      </c>
      <c r="B22" s="79" t="n"/>
      <c r="C22" s="79" t="n"/>
      <c r="D22" s="79" t="n"/>
      <c r="E22" s="79" t="n"/>
      <c r="F22" s="79" t="n"/>
      <c r="G22" s="79" t="n"/>
      <c r="H22" s="79" t="n"/>
      <c r="I22" s="80" t="n"/>
    </row>
    <row r="23" ht="33" customHeight="1" s="47">
      <c r="A23" s="69" t="n"/>
      <c r="B23" s="69" t="inlineStr">
        <is>
          <t>День</t>
        </is>
      </c>
      <c r="C23" s="70" t="n"/>
      <c r="D23" s="70" t="inlineStr">
        <is>
          <t>Выручка</t>
        </is>
      </c>
      <c r="E23" s="70" t="n"/>
      <c r="F23" s="70" t="inlineStr">
        <is>
          <t>Нормочасы</t>
        </is>
      </c>
      <c r="G23" s="70" t="n"/>
      <c r="H23" s="70" t="inlineStr">
        <is>
          <t>ЗН закрыто</t>
        </is>
      </c>
      <c r="I23" s="70" t="inlineStr">
        <is>
          <t>Ср.чек</t>
        </is>
      </c>
    </row>
    <row r="24" ht="33" customHeight="1" s="47">
      <c r="A24" s="69" t="n"/>
      <c r="B24" s="69" t="inlineStr">
        <is>
          <t>Пн</t>
        </is>
      </c>
      <c r="C24" s="70" t="n"/>
      <c r="D24" s="81" t="n"/>
      <c r="E24" s="70" t="n"/>
      <c r="F24" s="81" t="n"/>
      <c r="G24" s="70" t="n"/>
      <c r="H24" s="81" t="n"/>
      <c r="I24" s="81">
        <f>IFERROR(D24/H24,"—")</f>
        <v/>
      </c>
    </row>
    <row r="25" ht="33" customHeight="1" s="47">
      <c r="A25" s="69" t="n"/>
      <c r="B25" s="69" t="inlineStr">
        <is>
          <t>Вт</t>
        </is>
      </c>
      <c r="C25" s="70" t="n"/>
      <c r="D25" s="81" t="n"/>
      <c r="E25" s="70" t="n"/>
      <c r="F25" s="81" t="n"/>
      <c r="G25" s="70" t="n"/>
      <c r="H25" s="81" t="n"/>
      <c r="I25" s="81">
        <f>IFERROR(D25/H25,"—")</f>
        <v/>
      </c>
    </row>
    <row r="26" ht="33" customHeight="1" s="47">
      <c r="A26" s="69" t="n"/>
      <c r="B26" s="69" t="inlineStr">
        <is>
          <t>Ср</t>
        </is>
      </c>
      <c r="C26" s="70" t="n"/>
      <c r="D26" s="81" t="n"/>
      <c r="E26" s="70" t="n"/>
      <c r="F26" s="81" t="n"/>
      <c r="G26" s="70" t="n"/>
      <c r="H26" s="81" t="n"/>
      <c r="I26" s="81">
        <f>IFERROR(D26/H26,"—")</f>
        <v/>
      </c>
    </row>
    <row r="27" ht="33" customHeight="1" s="47">
      <c r="A27" s="69" t="n"/>
      <c r="B27" s="69" t="inlineStr">
        <is>
          <t>Чт</t>
        </is>
      </c>
      <c r="C27" s="70" t="n"/>
      <c r="D27" s="81" t="n"/>
      <c r="E27" s="70" t="n"/>
      <c r="F27" s="81" t="n"/>
      <c r="G27" s="70" t="n"/>
      <c r="H27" s="81" t="n"/>
      <c r="I27" s="81">
        <f>IFERROR(D27/H27,"—")</f>
        <v/>
      </c>
    </row>
    <row r="28" ht="33" customHeight="1" s="47">
      <c r="A28" s="69" t="n"/>
      <c r="B28" s="69" t="inlineStr">
        <is>
          <t>Пт</t>
        </is>
      </c>
      <c r="C28" s="70" t="n"/>
      <c r="D28" s="81" t="n"/>
      <c r="E28" s="70" t="n"/>
      <c r="F28" s="81" t="n"/>
      <c r="G28" s="70" t="n"/>
      <c r="H28" s="81" t="n"/>
      <c r="I28" s="81">
        <f>IFERROR(D28/H28,"—")</f>
        <v/>
      </c>
    </row>
    <row r="29" ht="33" customHeight="1" s="47">
      <c r="A29" s="69" t="n"/>
      <c r="B29" s="69" t="inlineStr">
        <is>
          <t>Сб</t>
        </is>
      </c>
      <c r="C29" s="70" t="n"/>
      <c r="D29" s="81" t="n"/>
      <c r="E29" s="70" t="n"/>
      <c r="F29" s="81" t="n"/>
      <c r="G29" s="70" t="n"/>
      <c r="H29" s="81" t="n"/>
      <c r="I29" s="81">
        <f>IFERROR(D29/H29,"—")</f>
        <v/>
      </c>
    </row>
    <row r="30" ht="33" customHeight="1" s="47">
      <c r="A30" s="69" t="n"/>
      <c r="B30" s="69" t="inlineStr">
        <is>
          <t>Вс</t>
        </is>
      </c>
      <c r="C30" s="70" t="n"/>
      <c r="D30" s="81" t="n"/>
      <c r="E30" s="70" t="n"/>
      <c r="F30" s="81" t="n"/>
      <c r="G30" s="70" t="n"/>
      <c r="H30" s="81" t="n"/>
      <c r="I30" s="81">
        <f>IFERROR(D30/H30,"—")</f>
        <v/>
      </c>
    </row>
    <row r="31" ht="33" customHeight="1" s="47">
      <c r="A31" s="69" t="n"/>
      <c r="B31" s="69" t="inlineStr">
        <is>
          <t>ИТОГО</t>
        </is>
      </c>
      <c r="C31" s="70" t="n"/>
      <c r="D31" s="81">
        <f>SUM(D24:D30)</f>
        <v/>
      </c>
      <c r="E31" s="70" t="n"/>
      <c r="F31" s="81">
        <f>SUM(F24:F30)</f>
        <v/>
      </c>
      <c r="G31" s="70" t="n"/>
      <c r="H31" s="81">
        <f>SUM(H24:H30)</f>
        <v/>
      </c>
      <c r="I31" s="81">
        <f>IFERROR(D31/H31,"—")</f>
        <v/>
      </c>
    </row>
    <row r="32" ht="8" customHeight="1" s="47">
      <c r="A32" s="55" t="n"/>
      <c r="B32" s="55" t="n"/>
      <c r="C32" s="55" t="n"/>
      <c r="D32" s="83" t="n"/>
      <c r="E32" s="55" t="n"/>
      <c r="F32" s="83" t="n"/>
      <c r="G32" s="55" t="n"/>
      <c r="H32" s="83" t="n"/>
      <c r="I32" s="55" t="n"/>
    </row>
    <row r="33" ht="33" customHeight="1" s="47">
      <c r="A33" s="67" t="inlineStr">
        <is>
          <t xml:space="preserve">  4.  КОММЕНТАРИЙ РУКОВОДИТЕЛЯ  [вручную]</t>
        </is>
      </c>
      <c r="B33" s="79" t="n"/>
      <c r="C33" s="79" t="n"/>
      <c r="D33" s="79" t="n"/>
      <c r="E33" s="79" t="n"/>
      <c r="F33" s="79" t="n"/>
      <c r="G33" s="79" t="n"/>
      <c r="H33" s="79" t="n"/>
      <c r="I33" s="80" t="n"/>
    </row>
    <row r="34" ht="33" customHeight="1" s="47">
      <c r="A34" s="69" t="n"/>
      <c r="B34" s="69" t="inlineStr">
        <is>
          <t>Вопрос</t>
        </is>
      </c>
      <c r="C34" s="70" t="n"/>
      <c r="D34" s="70" t="inlineStr">
        <is>
          <t>Ответ / комментарий руководителя</t>
        </is>
      </c>
      <c r="E34" s="77" t="n"/>
      <c r="F34" s="77" t="n"/>
      <c r="G34" s="77" t="n"/>
      <c r="H34" s="77" t="n"/>
      <c r="I34" s="78" t="n"/>
    </row>
    <row r="35" ht="33" customHeight="1" s="47">
      <c r="A35" s="69" t="n"/>
      <c r="B35" s="69" t="inlineStr">
        <is>
          <t>Что повлияло на результат недели?</t>
        </is>
      </c>
      <c r="C35" s="70" t="n"/>
      <c r="D35" s="70" t="inlineStr">
        <is>
          <t>введите комментарий...</t>
        </is>
      </c>
      <c r="E35" s="77" t="n"/>
      <c r="F35" s="77" t="n"/>
      <c r="G35" s="77" t="n"/>
      <c r="H35" s="77" t="n"/>
      <c r="I35" s="78" t="n"/>
    </row>
    <row r="36" ht="33" customHeight="1" s="47">
      <c r="A36" s="69" t="n"/>
      <c r="B36" s="69" t="inlineStr">
        <is>
          <t>Почему не выполнен план (если так)?</t>
        </is>
      </c>
      <c r="C36" s="70" t="n"/>
      <c r="D36" s="70" t="inlineStr">
        <is>
          <t>введите комментарий...</t>
        </is>
      </c>
      <c r="E36" s="77" t="n"/>
      <c r="F36" s="77" t="n"/>
      <c r="G36" s="77" t="n"/>
      <c r="H36" s="77" t="n"/>
      <c r="I36" s="78" t="n"/>
    </row>
    <row r="37" ht="33" customHeight="1" s="47">
      <c r="A37" s="69" t="n"/>
      <c r="B37" s="69" t="inlineStr">
        <is>
          <t>Что сделано хорошо?</t>
        </is>
      </c>
      <c r="C37" s="70" t="n"/>
      <c r="D37" s="70" t="inlineStr">
        <is>
          <t>введите комментарий...</t>
        </is>
      </c>
      <c r="E37" s="77" t="n"/>
      <c r="F37" s="77" t="n"/>
      <c r="G37" s="77" t="n"/>
      <c r="H37" s="77" t="n"/>
      <c r="I37" s="78" t="n"/>
    </row>
    <row r="38" ht="33" customHeight="1" s="47">
      <c r="A38" s="69" t="n"/>
      <c r="B38" s="69" t="inlineStr">
        <is>
          <t>Проблемы/узкие места, требующие решения</t>
        </is>
      </c>
      <c r="C38" s="70" t="n"/>
      <c r="D38" s="70" t="inlineStr">
        <is>
          <t>введите комментарий...</t>
        </is>
      </c>
      <c r="E38" s="77" t="n"/>
      <c r="F38" s="77" t="n"/>
      <c r="G38" s="77" t="n"/>
      <c r="H38" s="77" t="n"/>
      <c r="I38" s="78" t="n"/>
    </row>
    <row r="39" ht="33" customHeight="1" s="47">
      <c r="A39" s="69" t="n"/>
      <c r="B39" s="69" t="inlineStr">
        <is>
          <t>Задачи на следующую неделю</t>
        </is>
      </c>
      <c r="C39" s="70" t="n"/>
      <c r="D39" s="70" t="inlineStr">
        <is>
          <t>введите комментарий...</t>
        </is>
      </c>
      <c r="E39" s="77" t="n"/>
      <c r="F39" s="77" t="n"/>
      <c r="G39" s="77" t="n"/>
      <c r="H39" s="77" t="n"/>
      <c r="I39" s="78" t="n"/>
    </row>
    <row r="40" ht="33" customHeight="1" s="47">
      <c r="A40" s="69" t="n"/>
      <c r="B40" s="69" t="inlineStr">
        <is>
          <t>Что требует решения ГД?</t>
        </is>
      </c>
      <c r="C40" s="70" t="n"/>
      <c r="D40" s="70" t="inlineStr">
        <is>
          <t>введите комментарий...</t>
        </is>
      </c>
      <c r="E40" s="77" t="n"/>
      <c r="F40" s="77" t="n"/>
      <c r="G40" s="77" t="n"/>
      <c r="H40" s="77" t="n"/>
      <c r="I40" s="78" t="n"/>
    </row>
    <row r="41" ht="8" customHeight="1" s="47">
      <c r="A41" s="55" t="n"/>
      <c r="B41" s="55" t="n"/>
      <c r="C41" s="55" t="n"/>
      <c r="D41" s="83" t="n"/>
      <c r="E41" s="55" t="n"/>
      <c r="F41" s="83" t="n"/>
      <c r="G41" s="55" t="n"/>
      <c r="H41" s="83" t="n"/>
      <c r="I41" s="55" t="n"/>
    </row>
    <row r="42" ht="33" customHeight="1" s="47">
      <c r="A42" s="69" t="inlineStr">
        <is>
          <t>🤖 Данные 1С — авто (пн 11:00) | 🖊 Комментарии — руководитель до 11:00 пн | Битрикс24</t>
        </is>
      </c>
      <c r="B42" s="77" t="n"/>
      <c r="C42" s="77" t="n"/>
      <c r="D42" s="77" t="n"/>
      <c r="E42" s="77" t="n"/>
      <c r="F42" s="77" t="n"/>
      <c r="G42" s="77" t="n"/>
      <c r="H42" s="77" t="n"/>
      <c r="I42" s="78" t="n"/>
    </row>
  </sheetData>
  <mergeCells count="17">
    <mergeCell ref="A7:I7"/>
    <mergeCell ref="D34:I34"/>
    <mergeCell ref="A2:I2"/>
    <mergeCell ref="D38:I38"/>
    <mergeCell ref="A33:I33"/>
    <mergeCell ref="A42:I42"/>
    <mergeCell ref="D4:I4"/>
    <mergeCell ref="D5:I5"/>
    <mergeCell ref="A13:I13"/>
    <mergeCell ref="D40:I40"/>
    <mergeCell ref="D37:I37"/>
    <mergeCell ref="A1:I1"/>
    <mergeCell ref="D35:I35"/>
    <mergeCell ref="D36:I36"/>
    <mergeCell ref="D3:I3"/>
    <mergeCell ref="A22:I22"/>
    <mergeCell ref="D39:I39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zoomScaleNormal="100" workbookViewId="0">
      <selection activeCell="A1" sqref="A1:I1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ЕЖЕДНЕВНЫЙ ОТЧЁТ — РЕФ.СЕРВИС  |  Данные из 1С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Дата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26" customHeight="1" s="47">
      <c r="A5" s="64" t="n"/>
      <c r="B5" s="65" t="inlineStr">
        <is>
          <t>Руководитель (авто):</t>
        </is>
      </c>
      <c r="C5" s="64" t="n"/>
      <c r="D5" s="66" t="n"/>
      <c r="E5" s="66" t="n"/>
      <c r="F5" s="66" t="n"/>
      <c r="G5" s="66" t="n"/>
      <c r="H5" s="66" t="n"/>
      <c r="I5" s="66" t="n"/>
    </row>
    <row r="6" ht="33" customHeight="1" s="47">
      <c r="A6" s="67" t="inlineStr">
        <is>
          <t xml:space="preserve">  ВЫРАБОТКА</t>
        </is>
      </c>
      <c r="B6" s="79" t="n"/>
      <c r="C6" s="79" t="n"/>
      <c r="D6" s="79" t="n"/>
      <c r="E6" s="79" t="n"/>
      <c r="F6" s="79" t="n"/>
      <c r="G6" s="79" t="n"/>
      <c r="H6" s="79" t="n"/>
      <c r="I6" s="80" t="n"/>
    </row>
    <row r="7" ht="33" customHeight="1" s="47">
      <c r="A7" s="68" t="n"/>
      <c r="B7" s="68" t="inlineStr">
        <is>
          <t>Показатель</t>
        </is>
      </c>
      <c r="C7" s="68" t="n"/>
      <c r="D7" s="68" t="inlineStr">
        <is>
          <t>ПЛАН</t>
        </is>
      </c>
      <c r="E7" s="68" t="n"/>
      <c r="F7" s="68" t="inlineStr">
        <is>
          <t>ФАКТ (1С)</t>
        </is>
      </c>
      <c r="G7" s="68" t="n"/>
      <c r="H7" s="68" t="inlineStr">
        <is>
          <t>%</t>
        </is>
      </c>
      <c r="I7" s="68" t="inlineStr">
        <is>
          <t>Ед.</t>
        </is>
      </c>
    </row>
    <row r="8" ht="33" customHeight="1" s="47">
      <c r="A8" s="69" t="n"/>
      <c r="B8" s="69" t="inlineStr">
        <is>
          <t>Нормочасы за день — общая выработка</t>
        </is>
      </c>
      <c r="C8" s="70" t="n"/>
      <c r="D8" s="81" t="n"/>
      <c r="E8" s="70" t="n"/>
      <c r="F8" s="81" t="n"/>
      <c r="G8" s="70" t="n"/>
      <c r="H8" s="82">
        <f>IFERROR(IF(AND(ISNUMBER(D8),ISNUMBER(F8),D8&gt;0),F8/D8,"—"),"—")</f>
        <v/>
      </c>
      <c r="I8" s="70" t="inlineStr">
        <is>
          <t>нч</t>
        </is>
      </c>
    </row>
    <row r="9" ht="33" customHeight="1" s="47">
      <c r="A9" s="69" t="n"/>
      <c r="B9" s="69" t="inlineStr">
        <is>
          <t>Выработка на 1 мастера (нч/чел.)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нч/чел</t>
        </is>
      </c>
    </row>
    <row r="10" ht="33" customHeight="1" s="47">
      <c r="A10" s="69" t="n"/>
      <c r="B10" s="69" t="inlineStr">
        <is>
          <t>Закрыто ЗН за день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шт.</t>
        </is>
      </c>
    </row>
    <row r="11" ht="8" customHeight="1" s="47">
      <c r="A11" s="55" t="n"/>
      <c r="B11" s="55" t="n"/>
      <c r="C11" s="55" t="n"/>
      <c r="D11" s="83" t="n"/>
      <c r="E11" s="55" t="n"/>
      <c r="F11" s="83" t="n"/>
      <c r="G11" s="55" t="n"/>
      <c r="H11" s="83" t="n"/>
      <c r="I11" s="55" t="n"/>
    </row>
    <row r="12" ht="33" customHeight="1" s="47">
      <c r="A12" s="67" t="inlineStr">
        <is>
          <t xml:space="preserve">  ФИНАНСЫ</t>
        </is>
      </c>
      <c r="B12" s="79" t="n"/>
      <c r="C12" s="79" t="n"/>
      <c r="D12" s="79" t="n"/>
      <c r="E12" s="79" t="n"/>
      <c r="F12" s="79" t="n"/>
      <c r="G12" s="79" t="n"/>
      <c r="H12" s="79" t="n"/>
      <c r="I12" s="80" t="n"/>
    </row>
    <row r="13" ht="33" customHeight="1" s="47">
      <c r="A13" s="68" t="n"/>
      <c r="B13" s="68" t="inlineStr">
        <is>
          <t>Показатель</t>
        </is>
      </c>
      <c r="C13" s="68" t="n"/>
      <c r="D13" s="68" t="inlineStr">
        <is>
          <t>ПЛАН</t>
        </is>
      </c>
      <c r="E13" s="68" t="n"/>
      <c r="F13" s="68" t="inlineStr">
        <is>
          <t>ФАКТ (1С)</t>
        </is>
      </c>
      <c r="G13" s="68" t="n"/>
      <c r="H13" s="68" t="inlineStr">
        <is>
          <t>%</t>
        </is>
      </c>
      <c r="I13" s="68" t="inlineStr">
        <is>
          <t>Ед.</t>
        </is>
      </c>
    </row>
    <row r="14" ht="33" customHeight="1" s="47">
      <c r="A14" s="69" t="n"/>
      <c r="B14" s="69" t="inlineStr">
        <is>
          <t>Выручка за день</t>
        </is>
      </c>
      <c r="C14" s="70" t="n"/>
      <c r="D14" s="81" t="n"/>
      <c r="E14" s="70" t="n"/>
      <c r="F14" s="81" t="n"/>
      <c r="G14" s="70" t="n"/>
      <c r="H14" s="82">
        <f>IFERROR(IF(AND(ISNUMBER(D14),ISNUMBER(F14),D14&gt;0),F14/D14,"—"),"—")</f>
        <v/>
      </c>
      <c r="I14" s="70" t="inlineStr">
        <is>
          <t>руб.</t>
        </is>
      </c>
    </row>
    <row r="15" ht="33" customHeight="1" s="47">
      <c r="A15" s="69" t="n"/>
      <c r="B15" s="69" t="inlineStr">
        <is>
          <t>Себестоимость ЗЧ</t>
        </is>
      </c>
      <c r="C15" s="70" t="n"/>
      <c r="D15" s="81" t="n"/>
      <c r="E15" s="70" t="n"/>
      <c r="F15" s="81" t="n"/>
      <c r="G15" s="70" t="n"/>
      <c r="H15" s="82">
        <f>IFERROR(IF(AND(ISNUMBER(D15),ISNUMBER(F15),D15&gt;0),F15/D15,"—"),"—")</f>
        <v/>
      </c>
      <c r="I15" s="70" t="inlineStr">
        <is>
          <t>руб.</t>
        </is>
      </c>
    </row>
    <row r="16" ht="33" customHeight="1" s="47">
      <c r="A16" s="69" t="n"/>
      <c r="B16" s="69" t="inlineStr">
        <is>
          <t>Маржа (Выручка − Себест. ЗЧ)</t>
        </is>
      </c>
      <c r="C16" s="70" t="n"/>
      <c r="D16" s="81">
        <f>IFERROR(D14-D15,"—")</f>
        <v/>
      </c>
      <c r="E16" s="70" t="n"/>
      <c r="F16" s="81">
        <f>IFERROR(F14-F15,"—")</f>
        <v/>
      </c>
      <c r="G16" s="70" t="n"/>
      <c r="H16" s="82">
        <f>IFERROR(IF(AND(ISNUMBER(D16),ISNUMBER(F16),D16&gt;0),F16/D16,"—"),"—")</f>
        <v/>
      </c>
      <c r="I16" s="70" t="inlineStr">
        <is>
          <t>руб.</t>
        </is>
      </c>
    </row>
    <row r="17" ht="33" customHeight="1" s="47">
      <c r="A17" s="69" t="n"/>
      <c r="B17" s="69" t="inlineStr">
        <is>
          <t>Маржинальность</t>
        </is>
      </c>
      <c r="C17" s="70" t="n"/>
      <c r="D17" s="82">
        <f>IFERROR(D16/D14,"—")</f>
        <v/>
      </c>
      <c r="E17" s="70" t="n"/>
      <c r="F17" s="82">
        <f>IFERROR(F16/F14,"—")</f>
        <v/>
      </c>
      <c r="G17" s="70" t="n"/>
      <c r="H17" s="82">
        <f>IFERROR(IF(AND(ISNUMBER(D17),ISNUMBER(F17),D17&gt;0),F17/D17,"—"),"—")</f>
        <v/>
      </c>
      <c r="I17" s="70" t="inlineStr">
        <is>
          <t>%</t>
        </is>
      </c>
    </row>
    <row r="18" ht="33" customHeight="1" s="47">
      <c r="A18" s="69" t="n"/>
      <c r="B18" s="69" t="inlineStr">
        <is>
          <t>Средний чек (руб./ЗН)</t>
        </is>
      </c>
      <c r="C18" s="70" t="n"/>
      <c r="D18" s="81">
        <f>IFERROR(D14/D10,"—")</f>
        <v/>
      </c>
      <c r="E18" s="70" t="n"/>
      <c r="F18" s="81">
        <f>IFERROR(F14/F10,"—")</f>
        <v/>
      </c>
      <c r="G18" s="70" t="n"/>
      <c r="H18" s="82">
        <f>IFERROR(IF(AND(ISNUMBER(D18),ISNUMBER(F18),D18&gt;0),F18/D18,"—"),"—")</f>
        <v/>
      </c>
      <c r="I18" s="70" t="inlineStr">
        <is>
          <t>руб.</t>
        </is>
      </c>
    </row>
    <row r="19" ht="33" customHeight="1" s="47">
      <c r="A19" s="69" t="n"/>
      <c r="B19" s="69" t="inlineStr">
        <is>
          <t>Наценка на ЗЧ</t>
        </is>
      </c>
      <c r="C19" s="70" t="n"/>
      <c r="D19" s="82" t="n"/>
      <c r="E19" s="70" t="n"/>
      <c r="F19" s="82" t="n"/>
      <c r="G19" s="70" t="n"/>
      <c r="H19" s="82">
        <f>IFERROR(IF(AND(ISNUMBER(D19),ISNUMBER(F19),D19&gt;0),F19/D19,"—"),"—")</f>
        <v/>
      </c>
      <c r="I19" s="70" t="inlineStr">
        <is>
          <t>%</t>
        </is>
      </c>
    </row>
    <row r="20" ht="8" customHeight="1" s="47">
      <c r="A20" s="55" t="n"/>
      <c r="B20" s="55" t="n"/>
      <c r="C20" s="55" t="n"/>
      <c r="D20" s="83" t="n"/>
      <c r="E20" s="55" t="n"/>
      <c r="F20" s="83" t="n"/>
      <c r="G20" s="55" t="n"/>
      <c r="H20" s="83" t="n"/>
      <c r="I20" s="55" t="n"/>
    </row>
    <row r="21" ht="33" customHeight="1" s="47">
      <c r="A21" s="67" t="inlineStr">
        <is>
          <t xml:space="preserve">  СНАБЖЕНИЕ (из 1С)</t>
        </is>
      </c>
      <c r="B21" s="79" t="n"/>
      <c r="C21" s="79" t="n"/>
      <c r="D21" s="79" t="n"/>
      <c r="E21" s="79" t="n"/>
      <c r="F21" s="79" t="n"/>
      <c r="G21" s="79" t="n"/>
      <c r="H21" s="79" t="n"/>
      <c r="I21" s="80" t="n"/>
    </row>
    <row r="22" ht="33" customHeight="1" s="47">
      <c r="A22" s="68" t="n"/>
      <c r="B22" s="68" t="inlineStr">
        <is>
          <t>Показатель</t>
        </is>
      </c>
      <c r="C22" s="68" t="n"/>
      <c r="D22" s="68" t="inlineStr">
        <is>
          <t>Значение (1С)</t>
        </is>
      </c>
      <c r="E22" s="77" t="n"/>
      <c r="F22" s="78" t="n"/>
      <c r="G22" s="68" t="n"/>
      <c r="H22" s="68" t="inlineStr">
        <is>
          <t>Норма</t>
        </is>
      </c>
      <c r="I22" s="78" t="n"/>
    </row>
    <row r="23" ht="33" customHeight="1" s="47">
      <c r="A23" s="69" t="n"/>
      <c r="B23" s="69" t="inlineStr">
        <is>
          <t>Незакрытые ЗН старше 1 дня (шт.)</t>
        </is>
      </c>
      <c r="C23" s="70" t="n"/>
      <c r="D23" s="81" t="n"/>
      <c r="E23" s="77" t="n"/>
      <c r="F23" s="78" t="n"/>
      <c r="G23" s="70" t="n"/>
      <c r="H23" s="70" t="inlineStr">
        <is>
          <t>Цель: 0</t>
        </is>
      </c>
      <c r="I23" s="78" t="n"/>
    </row>
    <row r="24" ht="33" customHeight="1" s="47">
      <c r="A24" s="69" t="n"/>
      <c r="B24" s="69" t="inlineStr">
        <is>
          <t>ЗН без движения &gt; 2 дней (шт.)</t>
        </is>
      </c>
      <c r="C24" s="70" t="n"/>
      <c r="D24" s="81" t="n"/>
      <c r="E24" s="77" t="n"/>
      <c r="F24" s="78" t="n"/>
      <c r="G24" s="70" t="n"/>
      <c r="H24" s="70" t="inlineStr">
        <is>
          <t>Цель: 0</t>
        </is>
      </c>
      <c r="I24" s="78" t="n"/>
    </row>
    <row r="25" ht="8" customHeight="1" s="47">
      <c r="A25" s="55" t="n"/>
      <c r="B25" s="55" t="n"/>
      <c r="C25" s="55" t="n"/>
      <c r="D25" s="83" t="n"/>
      <c r="E25" s="55" t="n"/>
      <c r="F25" s="83" t="n"/>
      <c r="G25" s="55" t="n"/>
      <c r="H25" s="83" t="n"/>
      <c r="I25" s="55" t="n"/>
    </row>
    <row r="26" ht="33" customHeight="1" s="47">
      <c r="A26" s="69" t="inlineStr">
        <is>
          <t>🤖 Генерируется автоматически в 11:00 | Данные: 1С Альфа-Авто | Отправка: Битрикс24</t>
        </is>
      </c>
      <c r="B26" s="77" t="n"/>
      <c r="C26" s="77" t="n"/>
      <c r="D26" s="77" t="n"/>
      <c r="E26" s="77" t="n"/>
      <c r="F26" s="77" t="n"/>
      <c r="G26" s="77" t="n"/>
      <c r="H26" s="77" t="n"/>
      <c r="I26" s="78" t="n"/>
    </row>
  </sheetData>
  <mergeCells count="14">
    <mergeCell ref="A2:I2"/>
    <mergeCell ref="D23:F23"/>
    <mergeCell ref="D4:I4"/>
    <mergeCell ref="H24:I24"/>
    <mergeCell ref="D22:F22"/>
    <mergeCell ref="A1:I1"/>
    <mergeCell ref="H23:I23"/>
    <mergeCell ref="D3:I3"/>
    <mergeCell ref="A6:I6"/>
    <mergeCell ref="H22:I22"/>
    <mergeCell ref="A12:I12"/>
    <mergeCell ref="A26:I26"/>
    <mergeCell ref="A21:I21"/>
    <mergeCell ref="D24:F24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topLeftCell="A13" zoomScaleNormal="100" workbookViewId="0">
      <selection activeCell="A1" sqref="A1:I1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ЕЖЕНЕДЕЛЬНЫЙ ОТЧЁТ — РЕФ.СЕРВИС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Неделя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30" customHeight="1" s="47">
      <c r="A5" s="64" t="n"/>
      <c r="B5" s="65" t="inlineStr">
        <is>
          <t>Руководитель (авто):</t>
        </is>
      </c>
      <c r="C5" s="64" t="n"/>
      <c r="D5" s="66" t="n"/>
      <c r="E5" s="77" t="n"/>
      <c r="F5" s="77" t="n"/>
      <c r="G5" s="77" t="n"/>
      <c r="H5" s="77" t="n"/>
      <c r="I5" s="78" t="n"/>
    </row>
    <row r="6" ht="8" customHeight="1" s="47">
      <c r="A6" s="55" t="n"/>
      <c r="B6" s="55" t="n"/>
      <c r="C6" s="55" t="n"/>
      <c r="D6" s="55" t="n"/>
      <c r="E6" s="55" t="n"/>
      <c r="F6" s="55" t="n"/>
      <c r="G6" s="55" t="n"/>
      <c r="H6" s="55" t="n"/>
      <c r="I6" s="55" t="n"/>
    </row>
    <row r="7" ht="33" customHeight="1" s="47">
      <c r="A7" s="67" t="inlineStr">
        <is>
          <t xml:space="preserve">  1.  ВЫРАБОТКА  [из 1С]</t>
        </is>
      </c>
      <c r="B7" s="79" t="n"/>
      <c r="C7" s="79" t="n"/>
      <c r="D7" s="79" t="n"/>
      <c r="E7" s="79" t="n"/>
      <c r="F7" s="79" t="n"/>
      <c r="G7" s="79" t="n"/>
      <c r="H7" s="79" t="n"/>
      <c r="I7" s="80" t="n"/>
    </row>
    <row r="8" ht="33" customHeight="1" s="47">
      <c r="A8" s="68" t="n"/>
      <c r="B8" s="68" t="inlineStr">
        <is>
          <t>Показатель</t>
        </is>
      </c>
      <c r="C8" s="68" t="n"/>
      <c r="D8" s="68" t="inlineStr">
        <is>
          <t>ПЛАН</t>
        </is>
      </c>
      <c r="E8" s="68" t="n"/>
      <c r="F8" s="68" t="inlineStr">
        <is>
          <t>ФАКТ (1С)</t>
        </is>
      </c>
      <c r="G8" s="68" t="n"/>
      <c r="H8" s="68" t="inlineStr">
        <is>
          <t>%</t>
        </is>
      </c>
      <c r="I8" s="68" t="inlineStr">
        <is>
          <t>Ед.</t>
        </is>
      </c>
    </row>
    <row r="9" ht="33" customHeight="1" s="47">
      <c r="A9" s="69" t="n"/>
      <c r="B9" s="69" t="inlineStr">
        <is>
          <t>Нормочасы за неделю (7 дней)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</t>
        </is>
      </c>
    </row>
    <row r="10" ht="33" customHeight="1" s="47">
      <c r="A10" s="69" t="n"/>
      <c r="B10" s="69" t="inlineStr">
        <is>
          <t>Ср. выработка мастера в день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нч/чел</t>
        </is>
      </c>
    </row>
    <row r="11" ht="33" customHeight="1" s="47">
      <c r="A11" s="69" t="n"/>
      <c r="B11" s="69" t="inlineStr">
        <is>
          <t>Закрыто ЗН за неделю</t>
        </is>
      </c>
      <c r="C11" s="70" t="n"/>
      <c r="D11" s="81" t="n"/>
      <c r="E11" s="70" t="n"/>
      <c r="F11" s="81" t="n"/>
      <c r="G11" s="70" t="n"/>
      <c r="H11" s="82">
        <f>IFERROR(IF(AND(ISNUMBER(D11),ISNUMBER(F11),D11&gt;0),F11/D11,"—"),"—")</f>
        <v/>
      </c>
      <c r="I11" s="70" t="inlineStr">
        <is>
          <t>шт.</t>
        </is>
      </c>
    </row>
    <row r="12" ht="8" customHeight="1" s="47">
      <c r="A12" s="55" t="n"/>
      <c r="B12" s="55" t="n"/>
      <c r="C12" s="55" t="n"/>
      <c r="D12" s="83" t="n"/>
      <c r="E12" s="55" t="n"/>
      <c r="F12" s="83" t="n"/>
      <c r="G12" s="55" t="n"/>
      <c r="H12" s="83" t="n"/>
      <c r="I12" s="55" t="n"/>
    </row>
    <row r="13" ht="33" customHeight="1" s="47">
      <c r="A13" s="67" t="inlineStr">
        <is>
          <t xml:space="preserve">  2.  ФИНАНСЫ  [из 1С]</t>
        </is>
      </c>
      <c r="B13" s="79" t="n"/>
      <c r="C13" s="79" t="n"/>
      <c r="D13" s="79" t="n"/>
      <c r="E13" s="79" t="n"/>
      <c r="F13" s="79" t="n"/>
      <c r="G13" s="79" t="n"/>
      <c r="H13" s="79" t="n"/>
      <c r="I13" s="80" t="n"/>
    </row>
    <row r="14" ht="33" customHeight="1" s="47">
      <c r="A14" s="68" t="n"/>
      <c r="B14" s="68" t="inlineStr">
        <is>
          <t>Показатель</t>
        </is>
      </c>
      <c r="C14" s="68" t="n"/>
      <c r="D14" s="68" t="inlineStr">
        <is>
          <t>ПЛАН</t>
        </is>
      </c>
      <c r="E14" s="68" t="n"/>
      <c r="F14" s="68" t="inlineStr">
        <is>
          <t>ФАКТ (1С)</t>
        </is>
      </c>
      <c r="G14" s="68" t="n"/>
      <c r="H14" s="68" t="inlineStr">
        <is>
          <t>%</t>
        </is>
      </c>
      <c r="I14" s="68" t="inlineStr">
        <is>
          <t>Ед.</t>
        </is>
      </c>
    </row>
    <row r="15" ht="33" customHeight="1" s="47">
      <c r="A15" s="69" t="n"/>
      <c r="B15" s="69" t="inlineStr">
        <is>
          <t>Выручка за неделю</t>
        </is>
      </c>
      <c r="C15" s="70" t="n"/>
      <c r="D15" s="81" t="n"/>
      <c r="E15" s="70" t="n"/>
      <c r="F15" s="81" t="n"/>
      <c r="G15" s="70" t="n"/>
      <c r="H15" s="82">
        <f>IFERROR(IF(AND(ISNUMBER(D15),ISNUMBER(F15),D15&gt;0),F15/D15,"—"),"—")</f>
        <v/>
      </c>
      <c r="I15" s="70" t="inlineStr">
        <is>
          <t>руб.</t>
        </is>
      </c>
    </row>
    <row r="16" ht="33" customHeight="1" s="47">
      <c r="A16" s="69" t="n"/>
      <c r="B16" s="69" t="inlineStr">
        <is>
          <t>Себестоимость ЗЧ</t>
        </is>
      </c>
      <c r="C16" s="70" t="n"/>
      <c r="D16" s="81" t="n"/>
      <c r="E16" s="70" t="n"/>
      <c r="F16" s="81" t="n"/>
      <c r="G16" s="70" t="n"/>
      <c r="H16" s="82">
        <f>IFERROR(IF(AND(ISNUMBER(D16),ISNUMBER(F16),D16&gt;0),F16/D16,"—"),"—")</f>
        <v/>
      </c>
      <c r="I16" s="70" t="inlineStr">
        <is>
          <t>руб.</t>
        </is>
      </c>
    </row>
    <row r="17" ht="33" customHeight="1" s="47">
      <c r="A17" s="69" t="n"/>
      <c r="B17" s="69" t="inlineStr">
        <is>
          <t>Маржа</t>
        </is>
      </c>
      <c r="C17" s="70" t="n"/>
      <c r="D17" s="81">
        <f>IFERROR(D15-D16,"—")</f>
        <v/>
      </c>
      <c r="E17" s="70" t="n"/>
      <c r="F17" s="81">
        <f>IFERROR(F15-F16,"—")</f>
        <v/>
      </c>
      <c r="G17" s="70" t="n"/>
      <c r="H17" s="82">
        <f>IFERROR(IF(AND(ISNUMBER(D17),ISNUMBER(F17),D17&gt;0),F17/D17,"—"),"—")</f>
        <v/>
      </c>
      <c r="I17" s="70" t="inlineStr">
        <is>
          <t>руб.</t>
        </is>
      </c>
    </row>
    <row r="18" ht="33" customHeight="1" s="47">
      <c r="A18" s="69" t="n"/>
      <c r="B18" s="69" t="inlineStr">
        <is>
          <t>Маржинальность</t>
        </is>
      </c>
      <c r="C18" s="70" t="n"/>
      <c r="D18" s="82">
        <f>IFERROR(D17/D15,"—")</f>
        <v/>
      </c>
      <c r="E18" s="70" t="n"/>
      <c r="F18" s="82">
        <f>IFERROR(F17/F15,"—")</f>
        <v/>
      </c>
      <c r="G18" s="70" t="n"/>
      <c r="H18" s="82">
        <f>IFERROR(IF(AND(ISNUMBER(D18),ISNUMBER(F18),D18&gt;0),F18/D18,"—"),"—")</f>
        <v/>
      </c>
      <c r="I18" s="70" t="inlineStr">
        <is>
          <t>%</t>
        </is>
      </c>
    </row>
    <row r="19" ht="33" customHeight="1" s="47">
      <c r="A19" s="69" t="n"/>
      <c r="B19" s="69" t="inlineStr">
        <is>
          <t>Средний чек</t>
        </is>
      </c>
      <c r="C19" s="70" t="n"/>
      <c r="D19" s="81">
        <f>IFERROR(D15/D11,"—")</f>
        <v/>
      </c>
      <c r="E19" s="70" t="n"/>
      <c r="F19" s="81">
        <f>IFERROR(F15/F11,"—")</f>
        <v/>
      </c>
      <c r="G19" s="70" t="n"/>
      <c r="H19" s="82">
        <f>IFERROR(IF(AND(ISNUMBER(D19),ISNUMBER(F19),D19&gt;0),F19/D19,"—"),"—")</f>
        <v/>
      </c>
      <c r="I19" s="70" t="inlineStr">
        <is>
          <t>руб.</t>
        </is>
      </c>
    </row>
    <row r="20" ht="33" customHeight="1" s="47">
      <c r="A20" s="69" t="n"/>
      <c r="B20" s="69" t="inlineStr">
        <is>
          <t>Наценка на ЗЧ</t>
        </is>
      </c>
      <c r="C20" s="70" t="n"/>
      <c r="D20" s="82" t="n"/>
      <c r="E20" s="70" t="n"/>
      <c r="F20" s="82" t="n"/>
      <c r="G20" s="70" t="n"/>
      <c r="H20" s="82">
        <f>IFERROR(IF(AND(ISNUMBER(D20),ISNUMBER(F20),D20&gt;0),F20/D20,"—"),"—")</f>
        <v/>
      </c>
      <c r="I20" s="70" t="inlineStr">
        <is>
          <t>%</t>
        </is>
      </c>
    </row>
    <row r="21" ht="8" customHeight="1" s="47">
      <c r="A21" s="55" t="n"/>
      <c r="B21" s="55" t="n"/>
      <c r="C21" s="55" t="n"/>
      <c r="D21" s="83" t="n"/>
      <c r="E21" s="55" t="n"/>
      <c r="F21" s="83" t="n"/>
      <c r="G21" s="55" t="n"/>
      <c r="H21" s="83" t="n"/>
      <c r="I21" s="55" t="n"/>
    </row>
    <row r="22" ht="33" customHeight="1" s="47">
      <c r="A22" s="67" t="inlineStr">
        <is>
          <t xml:space="preserve">  3.  ВЫРУЧКА ПО ДНЯМ  [из 1С]</t>
        </is>
      </c>
      <c r="B22" s="79" t="n"/>
      <c r="C22" s="79" t="n"/>
      <c r="D22" s="79" t="n"/>
      <c r="E22" s="79" t="n"/>
      <c r="F22" s="79" t="n"/>
      <c r="G22" s="79" t="n"/>
      <c r="H22" s="79" t="n"/>
      <c r="I22" s="80" t="n"/>
    </row>
    <row r="23" ht="33" customHeight="1" s="47">
      <c r="A23" s="69" t="n"/>
      <c r="B23" s="69" t="inlineStr">
        <is>
          <t>День</t>
        </is>
      </c>
      <c r="C23" s="70" t="n"/>
      <c r="D23" s="70" t="inlineStr">
        <is>
          <t>Выручка</t>
        </is>
      </c>
      <c r="E23" s="70" t="n"/>
      <c r="F23" s="70" t="inlineStr">
        <is>
          <t>Нормочасы</t>
        </is>
      </c>
      <c r="G23" s="70" t="n"/>
      <c r="H23" s="70" t="inlineStr">
        <is>
          <t>ЗН закрыто</t>
        </is>
      </c>
      <c r="I23" s="70" t="inlineStr">
        <is>
          <t>Ср.чек</t>
        </is>
      </c>
    </row>
    <row r="24" ht="33" customHeight="1" s="47">
      <c r="A24" s="69" t="n"/>
      <c r="B24" s="69" t="inlineStr">
        <is>
          <t>Пн</t>
        </is>
      </c>
      <c r="C24" s="70" t="n"/>
      <c r="D24" s="81" t="n"/>
      <c r="E24" s="70" t="n"/>
      <c r="F24" s="81" t="n"/>
      <c r="G24" s="70" t="n"/>
      <c r="H24" s="81" t="n"/>
      <c r="I24" s="81">
        <f>IFERROR(D24/H24,"—")</f>
        <v/>
      </c>
    </row>
    <row r="25" ht="33" customHeight="1" s="47">
      <c r="A25" s="69" t="n"/>
      <c r="B25" s="69" t="inlineStr">
        <is>
          <t>Вт</t>
        </is>
      </c>
      <c r="C25" s="70" t="n"/>
      <c r="D25" s="81" t="n"/>
      <c r="E25" s="70" t="n"/>
      <c r="F25" s="81" t="n"/>
      <c r="G25" s="70" t="n"/>
      <c r="H25" s="81" t="n"/>
      <c r="I25" s="81">
        <f>IFERROR(D25/H25,"—")</f>
        <v/>
      </c>
    </row>
    <row r="26" ht="33" customHeight="1" s="47">
      <c r="A26" s="69" t="n"/>
      <c r="B26" s="69" t="inlineStr">
        <is>
          <t>Ср</t>
        </is>
      </c>
      <c r="C26" s="70" t="n"/>
      <c r="D26" s="81" t="n"/>
      <c r="E26" s="70" t="n"/>
      <c r="F26" s="81" t="n"/>
      <c r="G26" s="70" t="n"/>
      <c r="H26" s="81" t="n"/>
      <c r="I26" s="81">
        <f>IFERROR(D26/H26,"—")</f>
        <v/>
      </c>
    </row>
    <row r="27" ht="33" customHeight="1" s="47">
      <c r="A27" s="69" t="n"/>
      <c r="B27" s="69" t="inlineStr">
        <is>
          <t>Чт</t>
        </is>
      </c>
      <c r="C27" s="70" t="n"/>
      <c r="D27" s="81" t="n"/>
      <c r="E27" s="70" t="n"/>
      <c r="F27" s="81" t="n"/>
      <c r="G27" s="70" t="n"/>
      <c r="H27" s="81" t="n"/>
      <c r="I27" s="81">
        <f>IFERROR(D27/H27,"—")</f>
        <v/>
      </c>
    </row>
    <row r="28" ht="33" customHeight="1" s="47">
      <c r="A28" s="69" t="n"/>
      <c r="B28" s="69" t="inlineStr">
        <is>
          <t>Пт</t>
        </is>
      </c>
      <c r="C28" s="70" t="n"/>
      <c r="D28" s="81" t="n"/>
      <c r="E28" s="70" t="n"/>
      <c r="F28" s="81" t="n"/>
      <c r="G28" s="70" t="n"/>
      <c r="H28" s="81" t="n"/>
      <c r="I28" s="81">
        <f>IFERROR(D28/H28,"—")</f>
        <v/>
      </c>
    </row>
    <row r="29" ht="33" customHeight="1" s="47">
      <c r="A29" s="69" t="n"/>
      <c r="B29" s="69" t="inlineStr">
        <is>
          <t>Сб</t>
        </is>
      </c>
      <c r="C29" s="70" t="n"/>
      <c r="D29" s="81" t="n"/>
      <c r="E29" s="70" t="n"/>
      <c r="F29" s="81" t="n"/>
      <c r="G29" s="70" t="n"/>
      <c r="H29" s="81" t="n"/>
      <c r="I29" s="81">
        <f>IFERROR(D29/H29,"—")</f>
        <v/>
      </c>
    </row>
    <row r="30" ht="33" customHeight="1" s="47">
      <c r="A30" s="69" t="n"/>
      <c r="B30" s="69" t="inlineStr">
        <is>
          <t>Вс</t>
        </is>
      </c>
      <c r="C30" s="70" t="n"/>
      <c r="D30" s="81" t="n"/>
      <c r="E30" s="70" t="n"/>
      <c r="F30" s="81" t="n"/>
      <c r="G30" s="70" t="n"/>
      <c r="H30" s="81" t="n"/>
      <c r="I30" s="81">
        <f>IFERROR(D30/H30,"—")</f>
        <v/>
      </c>
    </row>
    <row r="31" ht="33" customHeight="1" s="47">
      <c r="A31" s="69" t="n"/>
      <c r="B31" s="69" t="inlineStr">
        <is>
          <t>ИТОГО</t>
        </is>
      </c>
      <c r="C31" s="70" t="n"/>
      <c r="D31" s="81">
        <f>SUM(D24:D30)</f>
        <v/>
      </c>
      <c r="E31" s="70" t="n"/>
      <c r="F31" s="81">
        <f>SUM(F24:F30)</f>
        <v/>
      </c>
      <c r="G31" s="70" t="n"/>
      <c r="H31" s="81">
        <f>SUM(H24:H30)</f>
        <v/>
      </c>
      <c r="I31" s="81">
        <f>IFERROR(D31/H31,"—")</f>
        <v/>
      </c>
    </row>
    <row r="32" ht="8" customHeight="1" s="47">
      <c r="A32" s="55" t="n"/>
      <c r="B32" s="55" t="n"/>
      <c r="C32" s="55" t="n"/>
      <c r="D32" s="83" t="n"/>
      <c r="E32" s="55" t="n"/>
      <c r="F32" s="83" t="n"/>
      <c r="G32" s="55" t="n"/>
      <c r="H32" s="83" t="n"/>
      <c r="I32" s="55" t="n"/>
    </row>
    <row r="33" ht="33" customHeight="1" s="47">
      <c r="A33" s="67" t="inlineStr">
        <is>
          <t xml:space="preserve">  4.  КОММЕНТАРИЙ РУКОВОДИТЕЛЯ  [вручную]</t>
        </is>
      </c>
      <c r="B33" s="79" t="n"/>
      <c r="C33" s="79" t="n"/>
      <c r="D33" s="79" t="n"/>
      <c r="E33" s="79" t="n"/>
      <c r="F33" s="79" t="n"/>
      <c r="G33" s="79" t="n"/>
      <c r="H33" s="79" t="n"/>
      <c r="I33" s="80" t="n"/>
    </row>
    <row r="34" ht="33" customHeight="1" s="47">
      <c r="A34" s="69" t="n"/>
      <c r="B34" s="69" t="inlineStr">
        <is>
          <t>Вопрос</t>
        </is>
      </c>
      <c r="C34" s="70" t="n"/>
      <c r="D34" s="70" t="inlineStr">
        <is>
          <t>Ответ / комментарий руководителя</t>
        </is>
      </c>
      <c r="E34" s="77" t="n"/>
      <c r="F34" s="77" t="n"/>
      <c r="G34" s="77" t="n"/>
      <c r="H34" s="77" t="n"/>
      <c r="I34" s="78" t="n"/>
    </row>
    <row r="35" ht="33" customHeight="1" s="47">
      <c r="A35" s="69" t="n"/>
      <c r="B35" s="69" t="inlineStr">
        <is>
          <t>Что повлияло на результат недели?</t>
        </is>
      </c>
      <c r="C35" s="70" t="n"/>
      <c r="D35" s="70" t="inlineStr">
        <is>
          <t>введите комментарий...</t>
        </is>
      </c>
      <c r="E35" s="77" t="n"/>
      <c r="F35" s="77" t="n"/>
      <c r="G35" s="77" t="n"/>
      <c r="H35" s="77" t="n"/>
      <c r="I35" s="78" t="n"/>
    </row>
    <row r="36" ht="33" customHeight="1" s="47">
      <c r="A36" s="69" t="n"/>
      <c r="B36" s="69" t="inlineStr">
        <is>
          <t>Почему не выполнен план (если так)?</t>
        </is>
      </c>
      <c r="C36" s="70" t="n"/>
      <c r="D36" s="70" t="inlineStr">
        <is>
          <t>введите комментарий...</t>
        </is>
      </c>
      <c r="E36" s="77" t="n"/>
      <c r="F36" s="77" t="n"/>
      <c r="G36" s="77" t="n"/>
      <c r="H36" s="77" t="n"/>
      <c r="I36" s="78" t="n"/>
    </row>
    <row r="37" ht="33" customHeight="1" s="47">
      <c r="A37" s="69" t="n"/>
      <c r="B37" s="69" t="inlineStr">
        <is>
          <t>Что сделано хорошо?</t>
        </is>
      </c>
      <c r="C37" s="70" t="n"/>
      <c r="D37" s="70" t="inlineStr">
        <is>
          <t>введите комментарий...</t>
        </is>
      </c>
      <c r="E37" s="77" t="n"/>
      <c r="F37" s="77" t="n"/>
      <c r="G37" s="77" t="n"/>
      <c r="H37" s="77" t="n"/>
      <c r="I37" s="78" t="n"/>
    </row>
    <row r="38" ht="33" customHeight="1" s="47">
      <c r="A38" s="69" t="n"/>
      <c r="B38" s="69" t="inlineStr">
        <is>
          <t>Проблемы/узкие места, требующие решения</t>
        </is>
      </c>
      <c r="C38" s="70" t="n"/>
      <c r="D38" s="70" t="inlineStr">
        <is>
          <t>введите комментарий...</t>
        </is>
      </c>
      <c r="E38" s="77" t="n"/>
      <c r="F38" s="77" t="n"/>
      <c r="G38" s="77" t="n"/>
      <c r="H38" s="77" t="n"/>
      <c r="I38" s="78" t="n"/>
    </row>
    <row r="39" ht="33" customHeight="1" s="47">
      <c r="A39" s="69" t="n"/>
      <c r="B39" s="69" t="inlineStr">
        <is>
          <t>Задачи на следующую неделю</t>
        </is>
      </c>
      <c r="C39" s="70" t="n"/>
      <c r="D39" s="70" t="inlineStr">
        <is>
          <t>введите комментарий...</t>
        </is>
      </c>
      <c r="E39" s="77" t="n"/>
      <c r="F39" s="77" t="n"/>
      <c r="G39" s="77" t="n"/>
      <c r="H39" s="77" t="n"/>
      <c r="I39" s="78" t="n"/>
    </row>
    <row r="40" ht="33" customHeight="1" s="47">
      <c r="A40" s="69" t="n"/>
      <c r="B40" s="69" t="inlineStr">
        <is>
          <t>Что требует решения ГД?</t>
        </is>
      </c>
      <c r="C40" s="70" t="n"/>
      <c r="D40" s="70" t="inlineStr">
        <is>
          <t>введите комментарий...</t>
        </is>
      </c>
      <c r="E40" s="77" t="n"/>
      <c r="F40" s="77" t="n"/>
      <c r="G40" s="77" t="n"/>
      <c r="H40" s="77" t="n"/>
      <c r="I40" s="78" t="n"/>
    </row>
    <row r="41" ht="8" customHeight="1" s="47">
      <c r="A41" s="55" t="n"/>
      <c r="B41" s="55" t="n"/>
      <c r="C41" s="55" t="n"/>
      <c r="D41" s="83" t="n"/>
      <c r="E41" s="55" t="n"/>
      <c r="F41" s="83" t="n"/>
      <c r="G41" s="55" t="n"/>
      <c r="H41" s="83" t="n"/>
      <c r="I41" s="55" t="n"/>
    </row>
    <row r="42" ht="33" customHeight="1" s="47">
      <c r="A42" s="69" t="inlineStr">
        <is>
          <t>🤖 Данные 1С — авто (пн 11:00) | 🖊 Комментарии — руководитель до 11:00 пн | Битрикс24</t>
        </is>
      </c>
      <c r="B42" s="77" t="n"/>
      <c r="C42" s="77" t="n"/>
      <c r="D42" s="77" t="n"/>
      <c r="E42" s="77" t="n"/>
      <c r="F42" s="77" t="n"/>
      <c r="G42" s="77" t="n"/>
      <c r="H42" s="77" t="n"/>
      <c r="I42" s="78" t="n"/>
    </row>
  </sheetData>
  <mergeCells count="17">
    <mergeCell ref="A7:I7"/>
    <mergeCell ref="D34:I34"/>
    <mergeCell ref="A2:I2"/>
    <mergeCell ref="D38:I38"/>
    <mergeCell ref="A33:I33"/>
    <mergeCell ref="A42:I42"/>
    <mergeCell ref="D4:I4"/>
    <mergeCell ref="D5:I5"/>
    <mergeCell ref="A13:I13"/>
    <mergeCell ref="D40:I40"/>
    <mergeCell ref="D37:I37"/>
    <mergeCell ref="A1:I1"/>
    <mergeCell ref="D35:I35"/>
    <mergeCell ref="D36:I36"/>
    <mergeCell ref="D3:I3"/>
    <mergeCell ref="A22:I22"/>
    <mergeCell ref="D39:I39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zoomScaleNormal="100" workbookViewId="0">
      <selection activeCell="J24" sqref="J24:J25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ЕЖЕДНЕВНЫЙ ОТЧЁТ — ШАРКЕР  |  Данные из 1С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Дата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26" customHeight="1" s="47">
      <c r="A5" s="64" t="n"/>
      <c r="B5" s="65" t="inlineStr">
        <is>
          <t>Руководитель (авто):</t>
        </is>
      </c>
      <c r="C5" s="64" t="n"/>
      <c r="D5" s="66" t="n"/>
      <c r="E5" s="66" t="n"/>
      <c r="F5" s="66" t="n"/>
      <c r="G5" s="66" t="n"/>
      <c r="H5" s="66" t="n"/>
      <c r="I5" s="66" t="n"/>
    </row>
    <row r="6" ht="33" customHeight="1" s="47">
      <c r="A6" s="67" t="inlineStr">
        <is>
          <t xml:space="preserve">  ВЫРАБОТКА — из 1С (вводит мастер цеха)</t>
        </is>
      </c>
      <c r="B6" s="79" t="n"/>
      <c r="C6" s="79" t="n"/>
      <c r="D6" s="79" t="n"/>
      <c r="E6" s="79" t="n"/>
      <c r="F6" s="79" t="n"/>
      <c r="G6" s="79" t="n"/>
      <c r="H6" s="79" t="n"/>
      <c r="I6" s="80" t="n"/>
    </row>
    <row r="7" ht="33" customHeight="1" s="47">
      <c r="A7" s="68" t="n"/>
      <c r="B7" s="68" t="inlineStr">
        <is>
          <t>Показатель</t>
        </is>
      </c>
      <c r="C7" s="68" t="n"/>
      <c r="D7" s="68" t="inlineStr">
        <is>
          <t>ПЛАН</t>
        </is>
      </c>
      <c r="E7" s="68" t="n"/>
      <c r="F7" s="68" t="inlineStr">
        <is>
          <t>ФАКТ (1С)</t>
        </is>
      </c>
      <c r="G7" s="68" t="n"/>
      <c r="H7" s="68" t="inlineStr">
        <is>
          <t>%</t>
        </is>
      </c>
      <c r="I7" s="68" t="inlineStr">
        <is>
          <t>Ед.</t>
        </is>
      </c>
    </row>
    <row r="8" ht="33" customHeight="1" s="47">
      <c r="A8" s="69" t="n"/>
      <c r="B8" s="69" t="inlineStr">
        <is>
          <t>Нормочасы за день (введено мастером)</t>
        </is>
      </c>
      <c r="C8" s="70" t="n"/>
      <c r="D8" s="81" t="n"/>
      <c r="E8" s="70" t="n"/>
      <c r="F8" s="81" t="n"/>
      <c r="G8" s="70" t="n"/>
      <c r="H8" s="82">
        <f>IFERROR(IF(AND(ISNUMBER(D8),ISNUMBER(F8),D8&gt;0),F8/D8,"—"),"—")</f>
        <v/>
      </c>
      <c r="I8" s="70" t="inlineStr">
        <is>
          <t>нч</t>
        </is>
      </c>
    </row>
    <row r="9" ht="33" customHeight="1" s="47">
      <c r="A9" s="69" t="n"/>
      <c r="B9" s="69" t="inlineStr">
        <is>
          <t>Выработка на 1 мастера (нч/чел.)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нч/чел</t>
        </is>
      </c>
    </row>
    <row r="10" ht="8" customHeight="1" s="47">
      <c r="A10" s="55" t="n"/>
      <c r="B10" s="55" t="n"/>
      <c r="C10" s="55" t="n"/>
      <c r="D10" s="83" t="n"/>
      <c r="E10" s="55" t="n"/>
      <c r="F10" s="83" t="n"/>
      <c r="G10" s="55" t="n"/>
      <c r="H10" s="83" t="n"/>
      <c r="I10" s="55" t="n"/>
    </row>
    <row r="11" ht="33" customHeight="1" s="47">
      <c r="A11" s="67" t="inlineStr">
        <is>
          <t xml:space="preserve">  ПАЙПЛАЙН АКТИВНЫХ ЗАКАЗОВ (из 1С)</t>
        </is>
      </c>
      <c r="B11" s="79" t="n"/>
      <c r="C11" s="79" t="n"/>
      <c r="D11" s="79" t="n"/>
      <c r="E11" s="79" t="n"/>
      <c r="F11" s="79" t="n"/>
      <c r="G11" s="79" t="n"/>
      <c r="H11" s="79" t="n"/>
      <c r="I11" s="80" t="n"/>
    </row>
    <row r="12" ht="33" customHeight="1" s="47">
      <c r="A12" s="68" t="n"/>
      <c r="B12" s="68" t="inlineStr">
        <is>
          <t>Показатель</t>
        </is>
      </c>
      <c r="C12" s="68" t="n"/>
      <c r="D12" s="68" t="inlineStr">
        <is>
          <t>Значение (1С)</t>
        </is>
      </c>
      <c r="E12" s="77" t="n"/>
      <c r="F12" s="77" t="n"/>
      <c r="G12" s="77" t="n"/>
      <c r="H12" s="77" t="n"/>
      <c r="I12" s="78" t="n"/>
    </row>
    <row r="13" ht="33" customHeight="1" s="47">
      <c r="A13" s="69" t="n"/>
      <c r="B13" s="69" t="inlineStr">
        <is>
          <t>Активных ЗН (всего в работе)</t>
        </is>
      </c>
      <c r="C13" s="70" t="n"/>
      <c r="D13" s="81" t="n"/>
      <c r="E13" s="77" t="n"/>
      <c r="F13" s="77" t="n"/>
      <c r="G13" s="77" t="n"/>
      <c r="H13" s="77" t="n"/>
      <c r="I13" s="78" t="n"/>
    </row>
    <row r="14" ht="33" customHeight="1" s="47">
      <c r="A14" s="69" t="n"/>
      <c r="B14" s="69" t="inlineStr">
        <is>
          <t>ЗН: готовы к выдаче сегодня</t>
        </is>
      </c>
      <c r="C14" s="70" t="n"/>
      <c r="D14" s="81" t="n"/>
      <c r="E14" s="77" t="n"/>
      <c r="F14" s="77" t="n"/>
      <c r="G14" s="77" t="n"/>
      <c r="H14" s="77" t="n"/>
      <c r="I14" s="78" t="n"/>
    </row>
    <row r="15" ht="33" customHeight="1" s="47">
      <c r="A15" s="69" t="n"/>
      <c r="B15" s="69" t="inlineStr">
        <is>
          <t>ЗН: ожидают ЗЧ (статус в 1С)</t>
        </is>
      </c>
      <c r="C15" s="70" t="n"/>
      <c r="D15" s="81" t="n"/>
      <c r="E15" s="77" t="n"/>
      <c r="F15" s="77" t="n"/>
      <c r="G15" s="77" t="n"/>
      <c r="H15" s="77" t="n"/>
      <c r="I15" s="78" t="n"/>
    </row>
    <row r="16" ht="33" customHeight="1" s="47">
      <c r="A16" s="69" t="n"/>
      <c r="B16" s="69" t="inlineStr">
        <is>
          <t>ЗН: просрочены (плановая дата прошла)</t>
        </is>
      </c>
      <c r="C16" s="70" t="n"/>
      <c r="D16" s="81" t="n"/>
      <c r="E16" s="77" t="n"/>
      <c r="F16" s="77" t="n"/>
      <c r="G16" s="77" t="n"/>
      <c r="H16" s="77" t="n"/>
      <c r="I16" s="78" t="n"/>
    </row>
    <row r="17" ht="33" customHeight="1" s="47">
      <c r="A17" s="69" t="n"/>
      <c r="B17" s="69" t="inlineStr">
        <is>
          <t>ЗН планируется закрыть на этой неделе</t>
        </is>
      </c>
      <c r="C17" s="70" t="n"/>
      <c r="D17" s="81" t="n"/>
      <c r="E17" s="77" t="n"/>
      <c r="F17" s="77" t="n"/>
      <c r="G17" s="77" t="n"/>
      <c r="H17" s="77" t="n"/>
      <c r="I17" s="78" t="n"/>
    </row>
    <row r="18" ht="8" customHeight="1" s="47">
      <c r="A18" s="55" t="n"/>
      <c r="B18" s="55" t="n"/>
      <c r="C18" s="55" t="n"/>
      <c r="D18" s="83" t="n"/>
      <c r="E18" s="55" t="n"/>
      <c r="F18" s="83" t="n"/>
      <c r="G18" s="55" t="n"/>
      <c r="H18" s="83" t="n"/>
      <c r="I18" s="55" t="n"/>
    </row>
    <row r="19" ht="33" customHeight="1" s="47">
      <c r="A19" s="67" t="inlineStr">
        <is>
          <t xml:space="preserve">  ФИНАНСЫ (из 1С)</t>
        </is>
      </c>
      <c r="B19" s="79" t="n"/>
      <c r="C19" s="79" t="n"/>
      <c r="D19" s="79" t="n"/>
      <c r="E19" s="79" t="n"/>
      <c r="F19" s="79" t="n"/>
      <c r="G19" s="79" t="n"/>
      <c r="H19" s="79" t="n"/>
      <c r="I19" s="80" t="n"/>
    </row>
    <row r="20" ht="33" customHeight="1" s="47">
      <c r="A20" s="68" t="n"/>
      <c r="B20" s="68" t="inlineStr">
        <is>
          <t>Показатель</t>
        </is>
      </c>
      <c r="C20" s="68" t="n"/>
      <c r="D20" s="68" t="inlineStr">
        <is>
          <t>ПЛАН</t>
        </is>
      </c>
      <c r="E20" s="68" t="n"/>
      <c r="F20" s="68" t="inlineStr">
        <is>
          <t>ФАКТ (1С)</t>
        </is>
      </c>
      <c r="G20" s="68" t="n"/>
      <c r="H20" s="68" t="inlineStr">
        <is>
          <t>%</t>
        </is>
      </c>
      <c r="I20" s="68" t="inlineStr">
        <is>
          <t>Ед.</t>
        </is>
      </c>
    </row>
    <row r="21" ht="33" customHeight="1" s="47">
      <c r="A21" s="69" t="n"/>
      <c r="B21" s="69" t="inlineStr">
        <is>
          <t>Закрыто ЗН за день (если есть)</t>
        </is>
      </c>
      <c r="C21" s="70" t="n"/>
      <c r="D21" s="81" t="n"/>
      <c r="E21" s="70" t="n"/>
      <c r="F21" s="81" t="n"/>
      <c r="G21" s="70" t="n"/>
      <c r="H21" s="82">
        <f>IFERROR(IF(AND(ISNUMBER(D21),ISNUMBER(F21),D21&gt;0),F21/D21,"—"),"—")</f>
        <v/>
      </c>
      <c r="I21" s="70" t="inlineStr">
        <is>
          <t>шт.</t>
        </is>
      </c>
    </row>
    <row r="22" ht="33" customHeight="1" s="47">
      <c r="A22" s="69" t="n"/>
      <c r="B22" s="69" t="inlineStr">
        <is>
          <t>Выручка закрытых ЗН</t>
        </is>
      </c>
      <c r="C22" s="70" t="n"/>
      <c r="D22" s="81" t="n"/>
      <c r="E22" s="70" t="n"/>
      <c r="F22" s="81" t="n"/>
      <c r="G22" s="70" t="n"/>
      <c r="H22" s="82">
        <f>IFERROR(IF(AND(ISNUMBER(D22),ISNUMBER(F22),D22&gt;0),F22/D22,"—"),"—")</f>
        <v/>
      </c>
      <c r="I22" s="70" t="inlineStr">
        <is>
          <t>руб.</t>
        </is>
      </c>
    </row>
    <row r="23" hidden="1" ht="33" customHeight="1" s="47">
      <c r="A23" s="69" t="n"/>
      <c r="B23" s="69" t="inlineStr">
        <is>
          <t>Поступления оплат</t>
        </is>
      </c>
      <c r="C23" s="70" t="n"/>
      <c r="D23" s="81" t="n"/>
      <c r="E23" s="70" t="n"/>
      <c r="F23" s="81" t="n"/>
      <c r="G23" s="70" t="n"/>
      <c r="H23" s="82">
        <f>IFERROR(IF(AND(ISNUMBER(D23),ISNUMBER(F23),D23&gt;0),F23/D23,"—"),"—")</f>
        <v/>
      </c>
      <c r="I23" s="70" t="inlineStr">
        <is>
          <t>руб.</t>
        </is>
      </c>
    </row>
    <row r="24" hidden="1" ht="48" customHeight="1" s="47">
      <c r="A24" s="69" t="n"/>
      <c r="B24" s="69" t="inlineStr">
        <is>
          <t>Количество неврученных для оплаты страховых ЗН прошлых месяцев</t>
        </is>
      </c>
      <c r="C24" s="70" t="n"/>
      <c r="D24" s="81" t="n">
        <v>0</v>
      </c>
      <c r="E24" s="70" t="n"/>
      <c r="F24" s="81" t="n"/>
      <c r="G24" s="70" t="n"/>
      <c r="H24" s="82">
        <f>IFERROR(IF(AND(ISNUMBER(D24),ISNUMBER(F24),D24&gt;0),F24/D24,"—"),"—")</f>
        <v/>
      </c>
      <c r="I24" s="70" t="inlineStr">
        <is>
          <t>шт.</t>
        </is>
      </c>
    </row>
    <row r="25" hidden="1" ht="48" customHeight="1" s="47">
      <c r="A25" s="69" t="n"/>
      <c r="B25" s="69" t="inlineStr">
        <is>
          <t>Сумма неврученных для оплаты страховых ЗН прошлых месяцев</t>
        </is>
      </c>
      <c r="C25" s="70" t="n"/>
      <c r="D25" s="81" t="n">
        <v>0</v>
      </c>
      <c r="E25" s="70" t="n"/>
      <c r="F25" s="81" t="n"/>
      <c r="G25" s="70" t="n"/>
      <c r="H25" s="82">
        <f>IFERROR(IF(AND(ISNUMBER(D25),ISNUMBER(F25),D25&gt;0),F25/D25,"—"),"—")</f>
        <v/>
      </c>
      <c r="I25" s="70" t="inlineStr">
        <is>
          <t>руб.</t>
        </is>
      </c>
    </row>
    <row r="26" ht="8" customHeight="1" s="47">
      <c r="A26" s="55" t="n"/>
      <c r="B26" s="55" t="n"/>
      <c r="C26" s="55" t="n"/>
      <c r="D26" s="83" t="n"/>
      <c r="E26" s="55" t="n"/>
      <c r="F26" s="83" t="n"/>
      <c r="G26" s="55" t="n"/>
      <c r="H26" s="83" t="n"/>
      <c r="I26" s="55" t="n"/>
    </row>
    <row r="27" ht="33" customHeight="1" s="47">
      <c r="A27" s="69" t="inlineStr">
        <is>
          <t>🤖 Генерируется автоматически в 11:00 | Выработка из 1С (мастер вводит ежедневно) | Битрикс24</t>
        </is>
      </c>
      <c r="B27" s="77" t="n"/>
      <c r="C27" s="77" t="n"/>
      <c r="D27" s="77" t="n"/>
      <c r="E27" s="77" t="n"/>
      <c r="F27" s="77" t="n"/>
      <c r="G27" s="77" t="n"/>
      <c r="H27" s="77" t="n"/>
      <c r="I27" s="78" t="n"/>
    </row>
  </sheetData>
  <mergeCells count="14">
    <mergeCell ref="D13:I13"/>
    <mergeCell ref="D17:I17"/>
    <mergeCell ref="A27:I27"/>
    <mergeCell ref="D16:I16"/>
    <mergeCell ref="A2:I2"/>
    <mergeCell ref="D4:I4"/>
    <mergeCell ref="D12:I12"/>
    <mergeCell ref="D3:I3"/>
    <mergeCell ref="D15:I15"/>
    <mergeCell ref="A19:I19"/>
    <mergeCell ref="D14:I14"/>
    <mergeCell ref="A11:I11"/>
    <mergeCell ref="A1:I1"/>
    <mergeCell ref="A6:I6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zoomScaleNormal="100" workbookViewId="0">
      <selection activeCell="K23" sqref="K23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5" customWidth="1" style="47" min="8" max="8"/>
    <col width="12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ЕЖЕНЕДЕЛЬНЫЙ ОТЧЁТ — ШАРКЕР  |  Длинные ремонты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Неделя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30" customHeight="1" s="47">
      <c r="A5" s="64" t="n"/>
      <c r="B5" s="65" t="inlineStr">
        <is>
          <t>Руководитель (авто):</t>
        </is>
      </c>
      <c r="C5" s="64" t="n"/>
      <c r="D5" s="66" t="n"/>
      <c r="E5" s="77" t="n"/>
      <c r="F5" s="77" t="n"/>
      <c r="G5" s="77" t="n"/>
      <c r="H5" s="77" t="n"/>
      <c r="I5" s="78" t="n"/>
    </row>
    <row r="6" ht="8" customHeight="1" s="47">
      <c r="A6" s="55" t="n"/>
      <c r="B6" s="55" t="n"/>
      <c r="C6" s="55" t="n"/>
      <c r="D6" s="55" t="n"/>
      <c r="E6" s="55" t="n"/>
      <c r="F6" s="55" t="n"/>
      <c r="G6" s="55" t="n"/>
      <c r="H6" s="55" t="n"/>
      <c r="I6" s="55" t="n"/>
    </row>
    <row r="7" ht="33" customHeight="1" s="47">
      <c r="A7" s="67" t="inlineStr">
        <is>
          <t xml:space="preserve">  1.  ВЫРАБОТКА ЗА НЕДЕЛЮ  [из 1С]</t>
        </is>
      </c>
      <c r="B7" s="79" t="n"/>
      <c r="C7" s="79" t="n"/>
      <c r="D7" s="79" t="n"/>
      <c r="E7" s="79" t="n"/>
      <c r="F7" s="79" t="n"/>
      <c r="G7" s="79" t="n"/>
      <c r="H7" s="79" t="n"/>
      <c r="I7" s="80" t="n"/>
    </row>
    <row r="8" ht="33" customHeight="1" s="47">
      <c r="A8" s="68" t="n"/>
      <c r="B8" s="68" t="inlineStr">
        <is>
          <t>Показатель</t>
        </is>
      </c>
      <c r="C8" s="68" t="n"/>
      <c r="D8" s="68" t="inlineStr">
        <is>
          <t>ПЛАН</t>
        </is>
      </c>
      <c r="E8" s="68" t="n"/>
      <c r="F8" s="68" t="inlineStr">
        <is>
          <t>ФАКТ (1С)</t>
        </is>
      </c>
      <c r="G8" s="68" t="n"/>
      <c r="H8" s="68" t="inlineStr">
        <is>
          <t>%</t>
        </is>
      </c>
      <c r="I8" s="68" t="inlineStr">
        <is>
          <t>Ед.</t>
        </is>
      </c>
    </row>
    <row r="9" ht="33" customHeight="1" s="47">
      <c r="A9" s="69" t="n"/>
      <c r="B9" s="69" t="inlineStr">
        <is>
          <t>Нормочасы за неделю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</t>
        </is>
      </c>
    </row>
    <row r="10" ht="33" customHeight="1" s="47">
      <c r="A10" s="69" t="n"/>
      <c r="B10" s="69" t="inlineStr">
        <is>
          <t>Ср. выработка мастера/день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нч/чел</t>
        </is>
      </c>
    </row>
    <row r="11" ht="8" customHeight="1" s="47">
      <c r="A11" s="55" t="n"/>
      <c r="B11" s="55" t="n"/>
      <c r="C11" s="55" t="n"/>
      <c r="D11" s="83" t="n"/>
      <c r="E11" s="55" t="n"/>
      <c r="F11" s="83" t="n"/>
      <c r="G11" s="55" t="n"/>
      <c r="H11" s="83" t="n"/>
      <c r="I11" s="55" t="n"/>
    </row>
    <row r="12" ht="33" customHeight="1" s="47">
      <c r="A12" s="67" t="inlineStr">
        <is>
          <t xml:space="preserve">  2.  ПАЙПЛАЙН ЗН  [из 1С]</t>
        </is>
      </c>
      <c r="B12" s="79" t="n"/>
      <c r="C12" s="79" t="n"/>
      <c r="D12" s="79" t="n"/>
      <c r="E12" s="79" t="n"/>
      <c r="F12" s="79" t="n"/>
      <c r="G12" s="79" t="n"/>
      <c r="H12" s="79" t="n"/>
      <c r="I12" s="80" t="n"/>
    </row>
    <row r="13" ht="33" customHeight="1" s="47">
      <c r="A13" s="68" t="n"/>
      <c r="B13" s="68" t="inlineStr">
        <is>
          <t>Показатель</t>
        </is>
      </c>
      <c r="C13" s="68" t="n"/>
      <c r="D13" s="68" t="inlineStr">
        <is>
          <t>Значение (1С)</t>
        </is>
      </c>
      <c r="E13" s="77" t="n"/>
      <c r="F13" s="78" t="n"/>
      <c r="G13" s="68" t="n"/>
      <c r="H13" s="68" t="inlineStr">
        <is>
          <t>vs пред. нед.</t>
        </is>
      </c>
      <c r="I13" s="97" t="inlineStr">
        <is>
          <t>Δ %</t>
        </is>
      </c>
    </row>
    <row r="14" ht="33" customHeight="1" s="47">
      <c r="A14" s="69" t="n"/>
      <c r="B14" s="69" t="inlineStr">
        <is>
          <t>Активных ЗН на конец недели</t>
        </is>
      </c>
      <c r="C14" s="70" t="n"/>
      <c r="D14" s="81" t="n"/>
      <c r="E14" s="77" t="n"/>
      <c r="F14" s="78" t="n"/>
      <c r="G14" s="70" t="n"/>
      <c r="H14" s="81" t="n"/>
      <c r="I14" s="82" t="n"/>
    </row>
    <row r="15" ht="33" customHeight="1" s="47">
      <c r="A15" s="69" t="n"/>
      <c r="B15" s="69" t="inlineStr">
        <is>
          <t>Закрыто ЗН за неделю</t>
        </is>
      </c>
      <c r="C15" s="70" t="n"/>
      <c r="D15" s="81" t="n"/>
      <c r="E15" s="77" t="n"/>
      <c r="F15" s="78" t="n"/>
      <c r="G15" s="70" t="n"/>
      <c r="H15" s="81" t="n"/>
      <c r="I15" s="82" t="n"/>
    </row>
    <row r="16" ht="33" customHeight="1" s="47">
      <c r="A16" s="69" t="n"/>
      <c r="B16" s="69" t="inlineStr">
        <is>
          <t>Выручка закрытых ЗН</t>
        </is>
      </c>
      <c r="C16" s="70" t="n"/>
      <c r="D16" s="81" t="n"/>
      <c r="E16" s="77" t="n"/>
      <c r="F16" s="78" t="n"/>
      <c r="G16" s="70" t="n"/>
      <c r="H16" s="81" t="n"/>
      <c r="I16" s="82" t="n"/>
    </row>
    <row r="17" ht="33" customHeight="1" s="47">
      <c r="A17" s="69" t="n"/>
      <c r="B17" s="69" t="inlineStr">
        <is>
          <t>Наценка на запасные части в закрытых ЗН (%)</t>
        </is>
      </c>
      <c r="C17" s="70" t="n"/>
      <c r="D17" s="82" t="n"/>
      <c r="E17" s="77" t="n"/>
      <c r="F17" s="78" t="n"/>
      <c r="G17" s="70" t="n"/>
      <c r="H17" s="82" t="n"/>
      <c r="I17" s="82" t="n"/>
    </row>
    <row r="18" ht="33" customHeight="1" s="47">
      <c r="A18" s="69" t="n"/>
      <c r="B18" s="69" t="inlineStr">
        <is>
          <t>Ср. длительность ремонта (дней)</t>
        </is>
      </c>
      <c r="C18" s="70" t="n"/>
      <c r="D18" s="81" t="n"/>
      <c r="E18" s="77" t="n"/>
      <c r="F18" s="78" t="n"/>
      <c r="G18" s="70" t="n"/>
      <c r="H18" s="81" t="n"/>
      <c r="I18" s="82" t="n"/>
    </row>
    <row r="19" ht="33" customHeight="1" s="47">
      <c r="A19" s="69" t="n"/>
      <c r="B19" s="69" t="inlineStr">
        <is>
          <t>ЗН просрочены (плановая дата)</t>
        </is>
      </c>
      <c r="C19" s="70" t="n"/>
      <c r="D19" s="81" t="n"/>
      <c r="E19" s="77" t="n"/>
      <c r="F19" s="78" t="n"/>
      <c r="G19" s="70" t="n"/>
      <c r="H19" s="81" t="n"/>
      <c r="I19" s="82" t="n"/>
    </row>
    <row r="20" ht="33" customHeight="1" s="47">
      <c r="A20" s="69" t="n"/>
      <c r="B20" s="69" t="inlineStr">
        <is>
          <t>ЗН ожидают ЗЧ</t>
        </is>
      </c>
      <c r="C20" s="70" t="n"/>
      <c r="D20" s="81" t="n"/>
      <c r="E20" s="77" t="n"/>
      <c r="F20" s="78" t="n"/>
      <c r="G20" s="70" t="n"/>
      <c r="H20" s="81" t="n"/>
      <c r="I20" s="82" t="n"/>
    </row>
    <row r="21" ht="33" customHeight="1" s="47">
      <c r="A21" s="69" t="n"/>
      <c r="B21" s="69" t="inlineStr">
        <is>
          <t>Поступления оплат за неделю</t>
        </is>
      </c>
      <c r="C21" s="70" t="n"/>
      <c r="D21" s="81" t="n"/>
      <c r="E21" s="77" t="n"/>
      <c r="F21" s="78" t="n"/>
      <c r="G21" s="70" t="n"/>
      <c r="H21" s="81" t="n"/>
      <c r="I21" s="82" t="n"/>
    </row>
    <row r="22" ht="48" customHeight="1" s="47">
      <c r="A22" s="69" t="n"/>
      <c r="B22" s="69" t="inlineStr">
        <is>
          <t>Количество неврученных для оплаты страховых ЗН прошлых месяцев</t>
        </is>
      </c>
      <c r="C22" s="70" t="n"/>
      <c r="D22" s="81" t="n"/>
      <c r="E22" s="77" t="n"/>
      <c r="F22" s="78" t="n"/>
      <c r="G22" s="70" t="n"/>
      <c r="H22" s="81" t="n"/>
      <c r="I22" s="82" t="n"/>
    </row>
    <row r="23" ht="48" customHeight="1" s="47">
      <c r="A23" s="69" t="n"/>
      <c r="B23" s="69" t="inlineStr">
        <is>
          <t>Сумма неврученных для оплаты страховых ЗН прошлых месяцев</t>
        </is>
      </c>
      <c r="C23" s="70" t="n"/>
      <c r="D23" s="81" t="n"/>
      <c r="E23" s="77" t="n"/>
      <c r="F23" s="78" t="n"/>
      <c r="G23" s="70" t="n"/>
      <c r="H23" s="81" t="n"/>
      <c r="I23" s="82" t="n"/>
    </row>
    <row r="24" ht="8" customHeight="1" s="47">
      <c r="A24" s="55" t="n"/>
      <c r="B24" s="55" t="n"/>
      <c r="C24" s="55" t="n"/>
      <c r="D24" s="83" t="n"/>
      <c r="E24" s="55" t="n"/>
      <c r="F24" s="83" t="n"/>
      <c r="G24" s="55" t="n"/>
      <c r="H24" s="83" t="n"/>
      <c r="I24" s="55" t="n"/>
    </row>
    <row r="25" ht="33" customHeight="1" s="47">
      <c r="A25" s="67" t="inlineStr">
        <is>
          <t xml:space="preserve">  3.  ВЫРАБОТКА ПО ДНЯМ  [из 1С]</t>
        </is>
      </c>
      <c r="B25" s="79" t="n"/>
      <c r="C25" s="79" t="n"/>
      <c r="D25" s="79" t="n"/>
      <c r="E25" s="79" t="n"/>
      <c r="F25" s="79" t="n"/>
      <c r="G25" s="79" t="n"/>
      <c r="H25" s="79" t="n"/>
      <c r="I25" s="80" t="n"/>
    </row>
    <row r="26" ht="33" customHeight="1" s="47">
      <c r="A26" s="69" t="n"/>
      <c r="B26" s="69" t="inlineStr">
        <is>
          <t>День</t>
        </is>
      </c>
      <c r="C26" s="70" t="n"/>
      <c r="D26" s="70" t="inlineStr">
        <is>
          <t>Нормочасы</t>
        </is>
      </c>
      <c r="E26" s="70" t="n"/>
      <c r="F26" s="70" t="inlineStr">
        <is>
          <t>Мастеров</t>
        </is>
      </c>
      <c r="G26" s="70" t="n"/>
      <c r="H26" s="70" t="inlineStr">
        <is>
          <t>Нч/чел.</t>
        </is>
      </c>
      <c r="I26" s="70" t="n"/>
      <c r="K26" s="43" t="n"/>
    </row>
    <row r="27" ht="33" customHeight="1" s="47">
      <c r="A27" s="69" t="n"/>
      <c r="B27" s="69" t="inlineStr">
        <is>
          <t>Пн</t>
        </is>
      </c>
      <c r="C27" s="70" t="n"/>
      <c r="D27" s="81" t="n"/>
      <c r="E27" s="70" t="n"/>
      <c r="F27" s="81" t="n"/>
      <c r="G27" s="70" t="n"/>
      <c r="H27" s="81">
        <f>IFERROR(D27/F27,"—")</f>
        <v/>
      </c>
      <c r="I27" s="70" t="n"/>
    </row>
    <row r="28" ht="33" customHeight="1" s="47">
      <c r="A28" s="69" t="n"/>
      <c r="B28" s="69" t="inlineStr">
        <is>
          <t>Вт</t>
        </is>
      </c>
      <c r="C28" s="70" t="n"/>
      <c r="D28" s="81" t="n"/>
      <c r="E28" s="70" t="n"/>
      <c r="F28" s="81" t="n"/>
      <c r="G28" s="70" t="n"/>
      <c r="H28" s="81">
        <f>IFERROR(D28/F28,"—")</f>
        <v/>
      </c>
      <c r="I28" s="70" t="n"/>
    </row>
    <row r="29" ht="33" customHeight="1" s="47">
      <c r="A29" s="69" t="n"/>
      <c r="B29" s="69" t="inlineStr">
        <is>
          <t>Ср</t>
        </is>
      </c>
      <c r="C29" s="70" t="n"/>
      <c r="D29" s="81" t="n"/>
      <c r="E29" s="70" t="n"/>
      <c r="F29" s="81" t="n"/>
      <c r="G29" s="70" t="n"/>
      <c r="H29" s="81">
        <f>IFERROR(D29/F29,"—")</f>
        <v/>
      </c>
      <c r="I29" s="70" t="n"/>
    </row>
    <row r="30" ht="33" customHeight="1" s="47">
      <c r="A30" s="69" t="n"/>
      <c r="B30" s="69" t="inlineStr">
        <is>
          <t>Чт</t>
        </is>
      </c>
      <c r="C30" s="70" t="n"/>
      <c r="D30" s="81" t="n"/>
      <c r="E30" s="70" t="n"/>
      <c r="F30" s="81" t="n"/>
      <c r="G30" s="70" t="n"/>
      <c r="H30" s="81">
        <f>IFERROR(D30/F30,"—")</f>
        <v/>
      </c>
      <c r="I30" s="70" t="n"/>
    </row>
    <row r="31" ht="33" customHeight="1" s="47">
      <c r="A31" s="69" t="n"/>
      <c r="B31" s="69" t="inlineStr">
        <is>
          <t>Пт</t>
        </is>
      </c>
      <c r="C31" s="70" t="n"/>
      <c r="D31" s="81" t="n"/>
      <c r="E31" s="70" t="n"/>
      <c r="F31" s="81" t="n"/>
      <c r="G31" s="70" t="n"/>
      <c r="H31" s="81">
        <f>IFERROR(D31/F31,"—")</f>
        <v/>
      </c>
      <c r="I31" s="70" t="n"/>
    </row>
    <row r="32" ht="33" customHeight="1" s="47">
      <c r="A32" s="69" t="n"/>
      <c r="B32" s="69" t="inlineStr">
        <is>
          <t>Сб</t>
        </is>
      </c>
      <c r="C32" s="70" t="n"/>
      <c r="D32" s="81" t="n"/>
      <c r="E32" s="70" t="n"/>
      <c r="F32" s="81" t="n"/>
      <c r="G32" s="70" t="n"/>
      <c r="H32" s="81">
        <f>IFERROR(D32/F32,"—")</f>
        <v/>
      </c>
      <c r="I32" s="70" t="n"/>
    </row>
    <row r="33" ht="33" customHeight="1" s="47">
      <c r="A33" s="69" t="n"/>
      <c r="B33" s="69" t="inlineStr">
        <is>
          <t>Вс</t>
        </is>
      </c>
      <c r="C33" s="70" t="n"/>
      <c r="D33" s="81" t="n"/>
      <c r="E33" s="70" t="n"/>
      <c r="F33" s="81" t="n"/>
      <c r="G33" s="70" t="n"/>
      <c r="H33" s="81">
        <f>IFERROR(D33/F33,"—")</f>
        <v/>
      </c>
      <c r="I33" s="70" t="n"/>
    </row>
    <row r="34" ht="33" customHeight="1" s="47">
      <c r="A34" s="69" t="n"/>
      <c r="B34" s="69" t="inlineStr">
        <is>
          <t>ИТОГО</t>
        </is>
      </c>
      <c r="C34" s="70" t="n"/>
      <c r="D34" s="81">
        <f>SUM(D27:D33)</f>
        <v/>
      </c>
      <c r="E34" s="70" t="n"/>
      <c r="F34" s="81" t="n"/>
      <c r="G34" s="70" t="n"/>
      <c r="H34" s="81" t="n"/>
      <c r="I34" s="81" t="n"/>
    </row>
    <row r="35" ht="8" customHeight="1" s="47">
      <c r="A35" s="55" t="n"/>
      <c r="B35" s="55" t="n"/>
      <c r="C35" s="55" t="n"/>
      <c r="D35" s="83" t="n"/>
      <c r="E35" s="55" t="n"/>
      <c r="F35" s="83" t="n"/>
      <c r="G35" s="55" t="n"/>
      <c r="H35" s="83" t="n"/>
      <c r="I35" s="55" t="n"/>
    </row>
    <row r="36" ht="33" customHeight="1" s="47">
      <c r="A36" s="67" t="inlineStr">
        <is>
          <t xml:space="preserve">  4.  КОММЕНТАРИЙ РУКОВОДИТЕЛЯ  [вручную]</t>
        </is>
      </c>
      <c r="B36" s="79" t="n"/>
      <c r="C36" s="79" t="n"/>
      <c r="D36" s="79" t="n"/>
      <c r="E36" s="79" t="n"/>
      <c r="F36" s="79" t="n"/>
      <c r="G36" s="79" t="n"/>
      <c r="H36" s="79" t="n"/>
      <c r="I36" s="80" t="n"/>
    </row>
    <row r="37" ht="33" customHeight="1" s="47">
      <c r="A37" s="69" t="n"/>
      <c r="B37" s="69" t="inlineStr">
        <is>
          <t>Вопрос</t>
        </is>
      </c>
      <c r="C37" s="70" t="n"/>
      <c r="D37" s="70" t="inlineStr">
        <is>
          <t>Ответ / комментарий</t>
        </is>
      </c>
      <c r="E37" s="77" t="n"/>
      <c r="F37" s="77" t="n"/>
      <c r="G37" s="77" t="n"/>
      <c r="H37" s="77" t="n"/>
      <c r="I37" s="78" t="n"/>
    </row>
    <row r="38" ht="33" customHeight="1" s="47">
      <c r="A38" s="69" t="n"/>
      <c r="B38" s="69" t="inlineStr">
        <is>
          <t>Задачи на следующую неделю</t>
        </is>
      </c>
      <c r="C38" s="70" t="n"/>
      <c r="D38" s="70" t="inlineStr">
        <is>
          <t>введите комментарий...</t>
        </is>
      </c>
      <c r="E38" s="77" t="n"/>
      <c r="F38" s="77" t="n"/>
      <c r="G38" s="77" t="n"/>
      <c r="H38" s="77" t="n"/>
      <c r="I38" s="78" t="n"/>
    </row>
    <row r="39" ht="33" customHeight="1" s="47">
      <c r="A39" s="69" t="n"/>
      <c r="B39" s="69" t="inlineStr">
        <is>
          <t>Что требует решения ГД?</t>
        </is>
      </c>
      <c r="C39" s="70" t="n"/>
      <c r="D39" s="70" t="inlineStr">
        <is>
          <t>введите комментарий...</t>
        </is>
      </c>
      <c r="E39" s="77" t="n"/>
      <c r="F39" s="77" t="n"/>
      <c r="G39" s="77" t="n"/>
      <c r="H39" s="77" t="n"/>
      <c r="I39" s="78" t="n"/>
    </row>
    <row r="40" ht="8" customHeight="1" s="47">
      <c r="A40" s="55" t="n"/>
      <c r="B40" s="55" t="n"/>
      <c r="C40" s="55" t="n"/>
      <c r="D40" s="83" t="n"/>
      <c r="E40" s="55" t="n"/>
      <c r="F40" s="83" t="n"/>
      <c r="G40" s="55" t="n"/>
      <c r="H40" s="83" t="n"/>
      <c r="I40" s="55" t="n"/>
    </row>
    <row r="41" ht="33" customHeight="1" s="47">
      <c r="A41" s="69" t="inlineStr">
        <is>
          <t>🤖 Данные 1С — авто | 🖊 Комментарии — руководитель до 11:00 пн | Битрикс24</t>
        </is>
      </c>
      <c r="B41" s="77" t="n"/>
      <c r="C41" s="77" t="n"/>
      <c r="D41" s="77" t="n"/>
      <c r="E41" s="77" t="n"/>
      <c r="F41" s="77" t="n"/>
      <c r="G41" s="77" t="n"/>
      <c r="H41" s="77" t="n"/>
      <c r="I41" s="78" t="n"/>
    </row>
  </sheetData>
  <mergeCells count="24">
    <mergeCell ref="A7:I7"/>
    <mergeCell ref="A25:I25"/>
    <mergeCell ref="D13:F13"/>
    <mergeCell ref="A41:I41"/>
    <mergeCell ref="D17:F17"/>
    <mergeCell ref="A12:I12"/>
    <mergeCell ref="D16:F16"/>
    <mergeCell ref="A2:I2"/>
    <mergeCell ref="D4:I4"/>
    <mergeCell ref="D37:I37"/>
    <mergeCell ref="D18:F18"/>
    <mergeCell ref="D3:I3"/>
    <mergeCell ref="D15:F15"/>
    <mergeCell ref="D39:I39"/>
    <mergeCell ref="D14:F14"/>
    <mergeCell ref="D38:I38"/>
    <mergeCell ref="D23:F23"/>
    <mergeCell ref="D5:I5"/>
    <mergeCell ref="D20:F20"/>
    <mergeCell ref="D19:F19"/>
    <mergeCell ref="A36:I36"/>
    <mergeCell ref="D22:F22"/>
    <mergeCell ref="A1:I1"/>
    <mergeCell ref="D21:F21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zoomScaleNormal="100" workbookViewId="0">
      <selection activeCell="J25" sqref="J25:J26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ЕЖЕДНЕВНЫЙ ОТЧЁТ — ЦКР  |  Данные из 1С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Дата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26" customHeight="1" s="47">
      <c r="A5" s="64" t="n"/>
      <c r="B5" s="65" t="inlineStr">
        <is>
          <t>Руководитель (авто):</t>
        </is>
      </c>
      <c r="C5" s="64" t="n"/>
      <c r="D5" s="66" t="n"/>
      <c r="E5" s="66" t="n"/>
      <c r="F5" s="66" t="n"/>
      <c r="G5" s="66" t="n"/>
      <c r="H5" s="66" t="n"/>
      <c r="I5" s="66" t="n"/>
    </row>
    <row r="6" ht="33" customHeight="1" s="47">
      <c r="A6" s="67" t="inlineStr">
        <is>
          <t xml:space="preserve">  ВЫРАБОТКА — из 1С (вводит мастер цеха)</t>
        </is>
      </c>
      <c r="B6" s="79" t="n"/>
      <c r="C6" s="79" t="n"/>
      <c r="D6" s="79" t="n"/>
      <c r="E6" s="79" t="n"/>
      <c r="F6" s="79" t="n"/>
      <c r="G6" s="79" t="n"/>
      <c r="H6" s="79" t="n"/>
      <c r="I6" s="80" t="n"/>
    </row>
    <row r="7" ht="33" customHeight="1" s="47">
      <c r="A7" s="68" t="n"/>
      <c r="B7" s="68" t="inlineStr">
        <is>
          <t>Показатель</t>
        </is>
      </c>
      <c r="C7" s="68" t="n"/>
      <c r="D7" s="68" t="inlineStr">
        <is>
          <t>ПЛАН</t>
        </is>
      </c>
      <c r="E7" s="68" t="n"/>
      <c r="F7" s="68" t="inlineStr">
        <is>
          <t>ФАКТ (1С)</t>
        </is>
      </c>
      <c r="G7" s="68" t="n"/>
      <c r="H7" s="68" t="inlineStr">
        <is>
          <t>%</t>
        </is>
      </c>
      <c r="I7" s="68" t="inlineStr">
        <is>
          <t>Ед.</t>
        </is>
      </c>
    </row>
    <row r="8" ht="33" customHeight="1" s="47">
      <c r="A8" s="69" t="n"/>
      <c r="B8" s="69" t="inlineStr">
        <is>
          <t>Нормочасы за день (введено мастером)</t>
        </is>
      </c>
      <c r="C8" s="70" t="n"/>
      <c r="D8" s="81" t="n"/>
      <c r="E8" s="70" t="n"/>
      <c r="F8" s="81" t="n"/>
      <c r="G8" s="70" t="n"/>
      <c r="H8" s="82">
        <f>IFERROR(IF(AND(ISNUMBER(D8),ISNUMBER(F8),D8&gt;0),F8/D8,"—"),"—")</f>
        <v/>
      </c>
      <c r="I8" s="70" t="inlineStr">
        <is>
          <t>нч</t>
        </is>
      </c>
    </row>
    <row r="9" ht="33" customHeight="1" s="47">
      <c r="A9" s="69" t="n"/>
      <c r="B9" s="69" t="inlineStr">
        <is>
          <t>Выработка на 1 мастера (нч/чел.)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нч/чел</t>
        </is>
      </c>
    </row>
    <row r="10" hidden="1" ht="33" customHeight="1" s="47">
      <c r="A10" s="69" t="n"/>
      <c r="B10" s="69" t="inlineStr">
        <is>
          <t>Стоимость выработки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руб.</t>
        </is>
      </c>
    </row>
    <row r="11" ht="8" customHeight="1" s="47">
      <c r="A11" s="55" t="n"/>
      <c r="B11" s="55" t="n"/>
      <c r="C11" s="55" t="n"/>
      <c r="D11" s="83" t="n"/>
      <c r="E11" s="55" t="n"/>
      <c r="F11" s="83" t="n"/>
      <c r="G11" s="55" t="n"/>
      <c r="H11" s="83" t="n"/>
      <c r="I11" s="55" t="n"/>
    </row>
    <row r="12" ht="33" customHeight="1" s="47">
      <c r="A12" s="67" t="inlineStr">
        <is>
          <t xml:space="preserve">  ПАЙПЛАЙН АКТИВНЫХ ЗАКАЗОВ (из 1С)</t>
        </is>
      </c>
      <c r="B12" s="79" t="n"/>
      <c r="C12" s="79" t="n"/>
      <c r="D12" s="79" t="n"/>
      <c r="E12" s="79" t="n"/>
      <c r="F12" s="79" t="n"/>
      <c r="G12" s="79" t="n"/>
      <c r="H12" s="79" t="n"/>
      <c r="I12" s="80" t="n"/>
    </row>
    <row r="13" ht="33" customHeight="1" s="47">
      <c r="A13" s="68" t="n"/>
      <c r="B13" s="68" t="inlineStr">
        <is>
          <t>Показатель</t>
        </is>
      </c>
      <c r="C13" s="68" t="n"/>
      <c r="D13" s="68" t="inlineStr">
        <is>
          <t>Значение (1С)</t>
        </is>
      </c>
      <c r="E13" s="77" t="n"/>
      <c r="F13" s="77" t="n"/>
      <c r="G13" s="77" t="n"/>
      <c r="H13" s="77" t="n"/>
      <c r="I13" s="78" t="n"/>
    </row>
    <row r="14" ht="33" customHeight="1" s="47">
      <c r="A14" s="69" t="n"/>
      <c r="B14" s="69" t="inlineStr">
        <is>
          <t>Активных ЗН (всего в работе)</t>
        </is>
      </c>
      <c r="C14" s="70" t="n"/>
      <c r="D14" s="81" t="n"/>
      <c r="E14" s="77" t="n"/>
      <c r="F14" s="77" t="n"/>
      <c r="G14" s="77" t="n"/>
      <c r="H14" s="77" t="n"/>
      <c r="I14" s="78" t="n"/>
    </row>
    <row r="15" ht="33" customHeight="1" s="47">
      <c r="A15" s="69" t="n"/>
      <c r="B15" s="69" t="inlineStr">
        <is>
          <t>ЗН: готовы к выдаче сегодня</t>
        </is>
      </c>
      <c r="C15" s="70" t="n"/>
      <c r="D15" s="81" t="n"/>
      <c r="E15" s="77" t="n"/>
      <c r="F15" s="77" t="n"/>
      <c r="G15" s="77" t="n"/>
      <c r="H15" s="77" t="n"/>
      <c r="I15" s="78" t="n"/>
    </row>
    <row r="16" ht="33" customHeight="1" s="47">
      <c r="A16" s="69" t="n"/>
      <c r="B16" s="69" t="inlineStr">
        <is>
          <t>ЗН: ожидают ЗЧ (статус в 1С)</t>
        </is>
      </c>
      <c r="C16" s="70" t="n"/>
      <c r="D16" s="81" t="n"/>
      <c r="E16" s="77" t="n"/>
      <c r="F16" s="77" t="n"/>
      <c r="G16" s="77" t="n"/>
      <c r="H16" s="77" t="n"/>
      <c r="I16" s="78" t="n"/>
    </row>
    <row r="17" ht="33" customHeight="1" s="47">
      <c r="A17" s="69" t="n"/>
      <c r="B17" s="69" t="inlineStr">
        <is>
          <t>ЗН: просрочены (плановая дата прошла)</t>
        </is>
      </c>
      <c r="C17" s="70" t="n"/>
      <c r="D17" s="81" t="n"/>
      <c r="E17" s="77" t="n"/>
      <c r="F17" s="77" t="n"/>
      <c r="G17" s="77" t="n"/>
      <c r="H17" s="77" t="n"/>
      <c r="I17" s="78" t="n"/>
    </row>
    <row r="18" ht="33" customHeight="1" s="47">
      <c r="A18" s="69" t="n"/>
      <c r="B18" s="69" t="inlineStr">
        <is>
          <t>ЗН планируется закрыть на этой неделе</t>
        </is>
      </c>
      <c r="C18" s="70" t="n"/>
      <c r="D18" s="81" t="n"/>
      <c r="E18" s="77" t="n"/>
      <c r="F18" s="77" t="n"/>
      <c r="G18" s="77" t="n"/>
      <c r="H18" s="77" t="n"/>
      <c r="I18" s="78" t="n"/>
    </row>
    <row r="19" ht="8" customHeight="1" s="47">
      <c r="A19" s="55" t="n"/>
      <c r="B19" s="55" t="n"/>
      <c r="C19" s="55" t="n"/>
      <c r="D19" s="83" t="n"/>
      <c r="E19" s="55" t="n"/>
      <c r="F19" s="83" t="n"/>
      <c r="G19" s="55" t="n"/>
      <c r="H19" s="95" t="n"/>
      <c r="I19" s="96" t="n"/>
    </row>
    <row r="20" ht="33" customHeight="1" s="47">
      <c r="A20" s="67" t="inlineStr">
        <is>
          <t xml:space="preserve">  ФИНАНСЫ (из 1С)</t>
        </is>
      </c>
      <c r="B20" s="79" t="n"/>
      <c r="C20" s="79" t="n"/>
      <c r="D20" s="79" t="n"/>
      <c r="E20" s="79" t="n"/>
      <c r="F20" s="79" t="n"/>
      <c r="G20" s="79" t="n"/>
      <c r="H20" s="79" t="n"/>
      <c r="I20" s="80" t="n"/>
    </row>
    <row r="21" ht="33" customHeight="1" s="47">
      <c r="A21" s="68" t="n"/>
      <c r="B21" s="68" t="inlineStr">
        <is>
          <t>Показатель</t>
        </is>
      </c>
      <c r="C21" s="68" t="n"/>
      <c r="D21" s="68" t="inlineStr">
        <is>
          <t>ПЛАН</t>
        </is>
      </c>
      <c r="E21" s="68" t="n"/>
      <c r="F21" s="68" t="inlineStr">
        <is>
          <t>ФАКТ (1С)</t>
        </is>
      </c>
      <c r="G21" s="68" t="n"/>
      <c r="H21" s="68" t="inlineStr">
        <is>
          <t>%</t>
        </is>
      </c>
      <c r="I21" s="68" t="inlineStr">
        <is>
          <t>Ед.</t>
        </is>
      </c>
    </row>
    <row r="22" ht="33" customHeight="1" s="47">
      <c r="A22" s="69" t="n"/>
      <c r="B22" s="69" t="inlineStr">
        <is>
          <t>Закрыто ЗН за день (если есть)</t>
        </is>
      </c>
      <c r="C22" s="70" t="n"/>
      <c r="D22" s="81" t="n"/>
      <c r="E22" s="70" t="n"/>
      <c r="F22" s="81" t="n"/>
      <c r="G22" s="70" t="n"/>
      <c r="H22" s="82">
        <f>IFERROR(IF(AND(ISNUMBER(D22),ISNUMBER(F22),D22&gt;0),F22/D22,"—"),"—")</f>
        <v/>
      </c>
      <c r="I22" s="70" t="inlineStr">
        <is>
          <t>шт.</t>
        </is>
      </c>
    </row>
    <row r="23" ht="33" customHeight="1" s="47">
      <c r="A23" s="69" t="n"/>
      <c r="B23" s="69" t="inlineStr">
        <is>
          <t>Выручка закрытых ЗН</t>
        </is>
      </c>
      <c r="C23" s="70" t="n"/>
      <c r="D23" s="81" t="n"/>
      <c r="E23" s="70" t="n"/>
      <c r="F23" s="81" t="n"/>
      <c r="G23" s="70" t="n"/>
      <c r="H23" s="82">
        <f>IFERROR(IF(AND(ISNUMBER(D23),ISNUMBER(F23),D23&gt;0),F23/D23,"—"),"—")</f>
        <v/>
      </c>
      <c r="I23" s="70" t="inlineStr">
        <is>
          <t>руб.</t>
        </is>
      </c>
    </row>
    <row r="24" hidden="1" ht="33" customHeight="1" s="47">
      <c r="A24" s="69" t="n"/>
      <c r="B24" s="69" t="inlineStr">
        <is>
          <t>Поступления оплат</t>
        </is>
      </c>
      <c r="C24" s="70" t="n"/>
      <c r="D24" s="81" t="n"/>
      <c r="E24" s="70" t="n"/>
      <c r="F24" s="81" t="n"/>
      <c r="G24" s="70" t="n"/>
      <c r="H24" s="82">
        <f>IFERROR(IF(AND(ISNUMBER(D24),ISNUMBER(F24),D24&gt;0),F24/D24,"—"),"—")</f>
        <v/>
      </c>
      <c r="I24" s="70" t="inlineStr">
        <is>
          <t>руб.</t>
        </is>
      </c>
    </row>
    <row r="25" hidden="1" ht="48" customHeight="1" s="47">
      <c r="A25" s="69" t="n"/>
      <c r="B25" s="69" t="inlineStr">
        <is>
          <t>Количество неврученных для оплаты страховых ЗН прошлых месяцев</t>
        </is>
      </c>
      <c r="C25" s="70" t="n"/>
      <c r="D25" s="81" t="n">
        <v>0</v>
      </c>
      <c r="E25" s="70" t="n"/>
      <c r="F25" s="81" t="n"/>
      <c r="G25" s="70" t="n"/>
      <c r="H25" s="82">
        <f>IFERROR(IF(AND(ISNUMBER(D25),ISNUMBER(F25),D25&gt;0),F25/D25,"—"),"—")</f>
        <v/>
      </c>
      <c r="I25" s="70" t="inlineStr">
        <is>
          <t>шт.</t>
        </is>
      </c>
    </row>
    <row r="26" hidden="1" ht="48" customHeight="1" s="47">
      <c r="A26" s="69" t="n"/>
      <c r="B26" s="69" t="inlineStr">
        <is>
          <t>Сумма неврученных для оплаты страховых ЗН прошлых месяцев</t>
        </is>
      </c>
      <c r="C26" s="70" t="n"/>
      <c r="D26" s="81" t="n">
        <v>0</v>
      </c>
      <c r="E26" s="70" t="n"/>
      <c r="F26" s="81" t="n"/>
      <c r="G26" s="70" t="n"/>
      <c r="H26" s="82">
        <f>IFERROR(IF(AND(ISNUMBER(D26),ISNUMBER(F26),D26&gt;0),F26/D26,"—"),"—")</f>
        <v/>
      </c>
      <c r="I26" s="70" t="inlineStr">
        <is>
          <t>руб.</t>
        </is>
      </c>
    </row>
    <row r="27" ht="8" customHeight="1" s="47">
      <c r="A27" s="55" t="n"/>
      <c r="B27" s="55" t="n"/>
      <c r="C27" s="55" t="n"/>
      <c r="D27" s="83" t="n"/>
      <c r="E27" s="55" t="n"/>
      <c r="F27" s="83" t="n"/>
      <c r="G27" s="55" t="n"/>
      <c r="H27" s="83" t="n"/>
      <c r="I27" s="55" t="n"/>
    </row>
    <row r="28" ht="33" customHeight="1" s="47">
      <c r="A28" s="69" t="inlineStr">
        <is>
          <t>🤖 Генерируется автоматически в 11:00 | Выработка из 1С (мастер вводит ежедневно) | Битрикс24</t>
        </is>
      </c>
      <c r="B28" s="77" t="n"/>
      <c r="C28" s="77" t="n"/>
      <c r="D28" s="77" t="n"/>
      <c r="E28" s="77" t="n"/>
      <c r="F28" s="77" t="n"/>
      <c r="G28" s="77" t="n"/>
      <c r="H28" s="77" t="n"/>
      <c r="I28" s="78" t="n"/>
    </row>
  </sheetData>
  <mergeCells count="14">
    <mergeCell ref="D13:I13"/>
    <mergeCell ref="D17:I17"/>
    <mergeCell ref="A12:I12"/>
    <mergeCell ref="D16:I16"/>
    <mergeCell ref="A2:I2"/>
    <mergeCell ref="D4:I4"/>
    <mergeCell ref="D18:I18"/>
    <mergeCell ref="D3:I3"/>
    <mergeCell ref="A20:I20"/>
    <mergeCell ref="D15:I15"/>
    <mergeCell ref="A28:I28"/>
    <mergeCell ref="D14:I14"/>
    <mergeCell ref="A1:I1"/>
    <mergeCell ref="A6:I6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zoomScaleNormal="100" workbookViewId="0">
      <selection activeCell="A36" sqref="A36:XFD38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5" customWidth="1" style="47" min="8" max="8"/>
    <col width="12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ЕЖЕНЕДЕЛЬНЫЙ ОТЧЁТ — ЦКР  |  Длинные ремонты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Неделя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30" customHeight="1" s="47">
      <c r="A5" s="64" t="n"/>
      <c r="B5" s="65" t="inlineStr">
        <is>
          <t>Руководитель (авто):</t>
        </is>
      </c>
      <c r="C5" s="64" t="n"/>
      <c r="D5" s="66" t="n"/>
      <c r="E5" s="77" t="n"/>
      <c r="F5" s="77" t="n"/>
      <c r="G5" s="77" t="n"/>
      <c r="H5" s="77" t="n"/>
      <c r="I5" s="78" t="n"/>
    </row>
    <row r="6" ht="8" customHeight="1" s="47">
      <c r="A6" s="55" t="n"/>
      <c r="B6" s="55" t="n"/>
      <c r="C6" s="55" t="n"/>
      <c r="D6" s="55" t="n"/>
      <c r="E6" s="55" t="n"/>
      <c r="F6" s="55" t="n"/>
      <c r="G6" s="55" t="n"/>
      <c r="H6" s="55" t="n"/>
      <c r="I6" s="55" t="n"/>
    </row>
    <row r="7" ht="33" customHeight="1" s="47">
      <c r="A7" s="67" t="inlineStr">
        <is>
          <t xml:space="preserve">  1.  ВЫРАБОТКА ЗА НЕДЕЛЮ  [из 1С]</t>
        </is>
      </c>
      <c r="B7" s="79" t="n"/>
      <c r="C7" s="79" t="n"/>
      <c r="D7" s="79" t="n"/>
      <c r="E7" s="79" t="n"/>
      <c r="F7" s="79" t="n"/>
      <c r="G7" s="79" t="n"/>
      <c r="H7" s="79" t="n"/>
      <c r="I7" s="80" t="n"/>
    </row>
    <row r="8" ht="33" customHeight="1" s="47">
      <c r="A8" s="68" t="n"/>
      <c r="B8" s="68" t="inlineStr">
        <is>
          <t>Показатель</t>
        </is>
      </c>
      <c r="C8" s="68" t="n"/>
      <c r="D8" s="68" t="inlineStr">
        <is>
          <t>ПЛАН</t>
        </is>
      </c>
      <c r="E8" s="68" t="n"/>
      <c r="F8" s="68" t="inlineStr">
        <is>
          <t>ФАКТ (1С)</t>
        </is>
      </c>
      <c r="G8" s="68" t="n"/>
      <c r="H8" s="68" t="inlineStr">
        <is>
          <t>%</t>
        </is>
      </c>
      <c r="I8" s="68" t="inlineStr">
        <is>
          <t>Ед.</t>
        </is>
      </c>
    </row>
    <row r="9" ht="33" customHeight="1" s="47">
      <c r="A9" s="69" t="n"/>
      <c r="B9" s="69" t="inlineStr">
        <is>
          <t>Нормочасы за неделю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нч</t>
        </is>
      </c>
    </row>
    <row r="10" ht="33" customHeight="1" s="47">
      <c r="A10" s="69" t="n"/>
      <c r="B10" s="69" t="inlineStr">
        <is>
          <t>Ср. выработка мастера/день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нч/чел</t>
        </is>
      </c>
    </row>
    <row r="11" ht="8" customHeight="1" s="47">
      <c r="A11" s="55" t="n"/>
      <c r="B11" s="55" t="n"/>
      <c r="C11" s="55" t="n"/>
      <c r="D11" s="83" t="n"/>
      <c r="E11" s="55" t="n"/>
      <c r="F11" s="83" t="n"/>
      <c r="G11" s="55" t="n"/>
      <c r="H11" s="83" t="n"/>
      <c r="I11" s="55" t="n"/>
    </row>
    <row r="12" ht="33" customHeight="1" s="47">
      <c r="A12" s="67" t="inlineStr">
        <is>
          <t xml:space="preserve">  2.  ПАЙПЛАЙН ЗН  [из 1С]</t>
        </is>
      </c>
      <c r="B12" s="79" t="n"/>
      <c r="C12" s="79" t="n"/>
      <c r="D12" s="79" t="n"/>
      <c r="E12" s="79" t="n"/>
      <c r="F12" s="79" t="n"/>
      <c r="G12" s="79" t="n"/>
      <c r="H12" s="79" t="n"/>
      <c r="I12" s="80" t="n"/>
    </row>
    <row r="13" ht="33" customHeight="1" s="47">
      <c r="A13" s="68" t="n"/>
      <c r="B13" s="68" t="inlineStr">
        <is>
          <t>Показатель</t>
        </is>
      </c>
      <c r="C13" s="68" t="n"/>
      <c r="D13" s="68" t="inlineStr">
        <is>
          <t>Значение (1С)</t>
        </is>
      </c>
      <c r="E13" s="77" t="n"/>
      <c r="F13" s="78" t="n"/>
      <c r="G13" s="68" t="n"/>
      <c r="H13" s="68" t="inlineStr">
        <is>
          <t>vs пред. нед.</t>
        </is>
      </c>
      <c r="I13" s="97" t="inlineStr">
        <is>
          <t>Δ %</t>
        </is>
      </c>
    </row>
    <row r="14" ht="33" customHeight="1" s="47">
      <c r="A14" s="69" t="n"/>
      <c r="B14" s="69" t="inlineStr">
        <is>
          <t>Активных ЗН на конец недели</t>
        </is>
      </c>
      <c r="C14" s="70" t="n"/>
      <c r="D14" s="81" t="n"/>
      <c r="E14" s="77" t="n"/>
      <c r="F14" s="78" t="n"/>
      <c r="G14" s="70" t="n"/>
      <c r="H14" s="81" t="n"/>
      <c r="I14" s="82" t="n"/>
    </row>
    <row r="15" ht="33" customHeight="1" s="47">
      <c r="A15" s="69" t="n"/>
      <c r="B15" s="69" t="inlineStr">
        <is>
          <t>Закрыто ЗН за неделю</t>
        </is>
      </c>
      <c r="C15" s="70" t="n"/>
      <c r="D15" s="81" t="n"/>
      <c r="E15" s="77" t="n"/>
      <c r="F15" s="78" t="n"/>
      <c r="G15" s="70" t="n"/>
      <c r="H15" s="81" t="n"/>
      <c r="I15" s="82" t="n"/>
    </row>
    <row r="16" ht="33" customHeight="1" s="47">
      <c r="A16" s="69" t="n"/>
      <c r="B16" s="69" t="inlineStr">
        <is>
          <t>Выручка закрытых ЗН</t>
        </is>
      </c>
      <c r="C16" s="70" t="n"/>
      <c r="D16" s="81" t="n"/>
      <c r="E16" s="77" t="n"/>
      <c r="F16" s="78" t="n"/>
      <c r="G16" s="70" t="n"/>
      <c r="H16" s="81" t="n"/>
      <c r="I16" s="82" t="n"/>
    </row>
    <row r="17" ht="33" customHeight="1" s="47">
      <c r="A17" s="69" t="n"/>
      <c r="B17" s="69" t="inlineStr">
        <is>
          <t>Наценка на запасные части в закрытых ЗН (%)</t>
        </is>
      </c>
      <c r="C17" s="70" t="n"/>
      <c r="D17" s="82" t="n"/>
      <c r="E17" s="77" t="n"/>
      <c r="F17" s="78" t="n"/>
      <c r="G17" s="70" t="n"/>
      <c r="H17" s="82" t="n"/>
      <c r="I17" s="82" t="n"/>
    </row>
    <row r="18" ht="33" customHeight="1" s="47">
      <c r="A18" s="69" t="n"/>
      <c r="B18" s="69" t="inlineStr">
        <is>
          <t>Ср. длительность ремонта (дней)</t>
        </is>
      </c>
      <c r="C18" s="70" t="n"/>
      <c r="D18" s="81" t="n"/>
      <c r="E18" s="77" t="n"/>
      <c r="F18" s="78" t="n"/>
      <c r="G18" s="70" t="n"/>
      <c r="H18" s="81" t="n"/>
      <c r="I18" s="82" t="n"/>
    </row>
    <row r="19" ht="33" customHeight="1" s="47">
      <c r="A19" s="69" t="n"/>
      <c r="B19" s="69" t="inlineStr">
        <is>
          <t>ЗН просрочены (плановая дата)</t>
        </is>
      </c>
      <c r="C19" s="70" t="n"/>
      <c r="D19" s="81" t="n"/>
      <c r="E19" s="77" t="n"/>
      <c r="F19" s="78" t="n"/>
      <c r="G19" s="70" t="n"/>
      <c r="H19" s="81" t="n"/>
      <c r="I19" s="82" t="n"/>
    </row>
    <row r="20" ht="33" customHeight="1" s="47">
      <c r="A20" s="69" t="n"/>
      <c r="B20" s="69" t="inlineStr">
        <is>
          <t>ЗН ожидают ЗЧ</t>
        </is>
      </c>
      <c r="C20" s="70" t="n"/>
      <c r="D20" s="81" t="n"/>
      <c r="E20" s="77" t="n"/>
      <c r="F20" s="78" t="n"/>
      <c r="G20" s="70" t="n"/>
      <c r="H20" s="81" t="n"/>
      <c r="I20" s="82" t="n"/>
    </row>
    <row r="21" ht="33" customHeight="1" s="47">
      <c r="A21" s="69" t="n"/>
      <c r="B21" s="69" t="inlineStr">
        <is>
          <t>Поступления оплат за неделю</t>
        </is>
      </c>
      <c r="C21" s="70" t="n"/>
      <c r="D21" s="81" t="n"/>
      <c r="E21" s="77" t="n"/>
      <c r="F21" s="78" t="n"/>
      <c r="G21" s="70" t="n"/>
      <c r="H21" s="81" t="n"/>
      <c r="I21" s="82" t="n"/>
    </row>
    <row r="22" ht="8" customHeight="1" s="47">
      <c r="A22" s="55" t="n"/>
      <c r="B22" s="55" t="n"/>
      <c r="C22" s="55" t="n"/>
      <c r="D22" s="83" t="n"/>
      <c r="E22" s="55" t="n"/>
      <c r="F22" s="83" t="n"/>
      <c r="G22" s="55" t="n"/>
      <c r="H22" s="83" t="n"/>
      <c r="I22" s="55" t="n"/>
    </row>
    <row r="23" ht="33" customHeight="1" s="47">
      <c r="A23" s="67" t="inlineStr">
        <is>
          <t xml:space="preserve">  3.  ВЫРАБОТКА ПО ДНЯМ  [из 1С]</t>
        </is>
      </c>
      <c r="B23" s="79" t="n"/>
      <c r="C23" s="79" t="n"/>
      <c r="D23" s="79" t="n"/>
      <c r="E23" s="79" t="n"/>
      <c r="F23" s="79" t="n"/>
      <c r="G23" s="79" t="n"/>
      <c r="H23" s="79" t="n"/>
      <c r="I23" s="80" t="n"/>
    </row>
    <row r="24" ht="33" customHeight="1" s="47">
      <c r="A24" s="69" t="n"/>
      <c r="B24" s="69" t="inlineStr">
        <is>
          <t>День</t>
        </is>
      </c>
      <c r="C24" s="70" t="n"/>
      <c r="D24" s="70" t="inlineStr">
        <is>
          <t>Нормочасы</t>
        </is>
      </c>
      <c r="E24" s="70" t="n"/>
      <c r="F24" s="70" t="inlineStr">
        <is>
          <t>Мастеров</t>
        </is>
      </c>
      <c r="G24" s="70" t="n"/>
      <c r="H24" s="70" t="inlineStr">
        <is>
          <t>Нч/чел.</t>
        </is>
      </c>
      <c r="I24" s="70" t="n"/>
    </row>
    <row r="25" ht="33" customHeight="1" s="47">
      <c r="A25" s="69" t="n"/>
      <c r="B25" s="69" t="inlineStr">
        <is>
          <t>Пн</t>
        </is>
      </c>
      <c r="C25" s="70" t="n"/>
      <c r="D25" s="81" t="n"/>
      <c r="E25" s="70" t="n"/>
      <c r="F25" s="81" t="n"/>
      <c r="G25" s="70" t="n"/>
      <c r="H25" s="81">
        <f>IFERROR(D25/F25,"—")</f>
        <v/>
      </c>
      <c r="I25" s="70" t="n"/>
    </row>
    <row r="26" ht="33" customHeight="1" s="47">
      <c r="A26" s="69" t="n"/>
      <c r="B26" s="69" t="inlineStr">
        <is>
          <t>Вт</t>
        </is>
      </c>
      <c r="C26" s="70" t="n"/>
      <c r="D26" s="81" t="n"/>
      <c r="E26" s="70" t="n"/>
      <c r="F26" s="81" t="n"/>
      <c r="G26" s="70" t="n"/>
      <c r="H26" s="81">
        <f>IFERROR(D26/F26,"—")</f>
        <v/>
      </c>
      <c r="I26" s="70" t="n"/>
    </row>
    <row r="27" ht="33" customHeight="1" s="47">
      <c r="A27" s="69" t="n"/>
      <c r="B27" s="69" t="inlineStr">
        <is>
          <t>Ср</t>
        </is>
      </c>
      <c r="C27" s="70" t="n"/>
      <c r="D27" s="81" t="n"/>
      <c r="E27" s="70" t="n"/>
      <c r="F27" s="81" t="n"/>
      <c r="G27" s="70" t="n"/>
      <c r="H27" s="81">
        <f>IFERROR(D27/F27,"—")</f>
        <v/>
      </c>
      <c r="I27" s="70" t="n"/>
    </row>
    <row r="28" ht="33" customHeight="1" s="47">
      <c r="A28" s="69" t="n"/>
      <c r="B28" s="69" t="inlineStr">
        <is>
          <t>Чт</t>
        </is>
      </c>
      <c r="C28" s="70" t="n"/>
      <c r="D28" s="81" t="n"/>
      <c r="E28" s="70" t="n"/>
      <c r="F28" s="81" t="n"/>
      <c r="G28" s="70" t="n"/>
      <c r="H28" s="81">
        <f>IFERROR(D28/F28,"—")</f>
        <v/>
      </c>
      <c r="I28" s="70" t="n"/>
    </row>
    <row r="29" ht="33" customHeight="1" s="47">
      <c r="A29" s="69" t="n"/>
      <c r="B29" s="69" t="inlineStr">
        <is>
          <t>Пт</t>
        </is>
      </c>
      <c r="C29" s="70" t="n"/>
      <c r="D29" s="81" t="n"/>
      <c r="E29" s="70" t="n"/>
      <c r="F29" s="81" t="n"/>
      <c r="G29" s="70" t="n"/>
      <c r="H29" s="81">
        <f>IFERROR(D29/F29,"—")</f>
        <v/>
      </c>
      <c r="I29" s="70" t="n"/>
    </row>
    <row r="30" ht="33" customHeight="1" s="47">
      <c r="A30" s="69" t="n"/>
      <c r="B30" s="69" t="inlineStr">
        <is>
          <t>Сб</t>
        </is>
      </c>
      <c r="C30" s="70" t="n"/>
      <c r="D30" s="81" t="n"/>
      <c r="E30" s="70" t="n"/>
      <c r="F30" s="81" t="n"/>
      <c r="G30" s="70" t="n"/>
      <c r="H30" s="81">
        <f>IFERROR(D30/F30,"—")</f>
        <v/>
      </c>
      <c r="I30" s="70" t="n"/>
    </row>
    <row r="31" ht="33" customHeight="1" s="47">
      <c r="A31" s="69" t="n"/>
      <c r="B31" s="69" t="inlineStr">
        <is>
          <t>Вс</t>
        </is>
      </c>
      <c r="C31" s="70" t="n"/>
      <c r="D31" s="81" t="n"/>
      <c r="E31" s="70" t="n"/>
      <c r="F31" s="81" t="n"/>
      <c r="G31" s="70" t="n"/>
      <c r="H31" s="81">
        <f>IFERROR(D31/F31,"—")</f>
        <v/>
      </c>
      <c r="I31" s="70" t="n"/>
    </row>
    <row r="32" ht="33" customHeight="1" s="47">
      <c r="A32" s="69" t="n"/>
      <c r="B32" s="69" t="inlineStr">
        <is>
          <t>ИТОГО</t>
        </is>
      </c>
      <c r="C32" s="70" t="n"/>
      <c r="D32" s="81">
        <f>SUM(D25:D31)</f>
        <v/>
      </c>
      <c r="E32" s="70" t="n"/>
      <c r="F32" s="81" t="n"/>
      <c r="G32" s="70" t="n"/>
      <c r="H32" s="81" t="n"/>
      <c r="I32" s="81" t="n"/>
    </row>
    <row r="33" ht="8" customHeight="1" s="47">
      <c r="A33" s="55" t="n"/>
      <c r="B33" s="55" t="n"/>
      <c r="C33" s="55" t="n"/>
      <c r="D33" s="83" t="n"/>
      <c r="E33" s="55" t="n"/>
      <c r="F33" s="83" t="n"/>
      <c r="G33" s="55" t="n"/>
      <c r="H33" s="83" t="n"/>
      <c r="I33" s="55" t="n"/>
    </row>
    <row r="34" ht="33" customHeight="1" s="47">
      <c r="A34" s="67" t="inlineStr">
        <is>
          <t xml:space="preserve">  4.  КОММЕНТАРИЙ РУКОВОДИТЕЛЯ  [вручную]</t>
        </is>
      </c>
      <c r="B34" s="79" t="n"/>
      <c r="C34" s="79" t="n"/>
      <c r="D34" s="79" t="n"/>
      <c r="E34" s="79" t="n"/>
      <c r="F34" s="79" t="n"/>
      <c r="G34" s="79" t="n"/>
      <c r="H34" s="79" t="n"/>
      <c r="I34" s="80" t="n"/>
    </row>
    <row r="35" ht="33" customHeight="1" s="47">
      <c r="A35" s="69" t="n"/>
      <c r="B35" s="69" t="inlineStr">
        <is>
          <t>Вопрос</t>
        </is>
      </c>
      <c r="C35" s="70" t="n"/>
      <c r="D35" s="70" t="inlineStr">
        <is>
          <t>Ответ / комментарий</t>
        </is>
      </c>
      <c r="E35" s="77" t="n"/>
      <c r="F35" s="77" t="n"/>
      <c r="G35" s="77" t="n"/>
      <c r="H35" s="77" t="n"/>
      <c r="I35" s="78" t="n"/>
    </row>
    <row r="36" ht="33" customHeight="1" s="47">
      <c r="A36" s="69" t="n"/>
      <c r="B36" s="69" t="inlineStr">
        <is>
          <t>Задачи на следующую неделю</t>
        </is>
      </c>
      <c r="C36" s="70" t="n"/>
      <c r="D36" s="70" t="inlineStr">
        <is>
          <t>введите комментарий...</t>
        </is>
      </c>
      <c r="E36" s="77" t="n"/>
      <c r="F36" s="77" t="n"/>
      <c r="G36" s="77" t="n"/>
      <c r="H36" s="77" t="n"/>
      <c r="I36" s="78" t="n"/>
    </row>
    <row r="37" ht="33" customHeight="1" s="47">
      <c r="A37" s="69" t="n"/>
      <c r="B37" s="69" t="inlineStr">
        <is>
          <t>Что требует решения ГД?</t>
        </is>
      </c>
      <c r="C37" s="70" t="n"/>
      <c r="D37" s="70" t="inlineStr">
        <is>
          <t>введите комментарий...</t>
        </is>
      </c>
      <c r="E37" s="77" t="n"/>
      <c r="F37" s="77" t="n"/>
      <c r="G37" s="77" t="n"/>
      <c r="H37" s="77" t="n"/>
      <c r="I37" s="78" t="n"/>
    </row>
    <row r="38" ht="8" customHeight="1" s="47">
      <c r="A38" s="55" t="n"/>
      <c r="B38" s="55" t="n"/>
      <c r="C38" s="55" t="n"/>
      <c r="D38" s="83" t="n"/>
      <c r="E38" s="55" t="n"/>
      <c r="F38" s="83" t="n"/>
      <c r="G38" s="55" t="n"/>
      <c r="H38" s="83" t="n"/>
      <c r="I38" s="55" t="n"/>
    </row>
    <row r="39" ht="33" customHeight="1" s="47">
      <c r="A39" s="69" t="inlineStr">
        <is>
          <t>🤖 Данные 1С — авто | 🖊 Комментарии — руководитель до 11:00 пн | Битрикс24</t>
        </is>
      </c>
      <c r="B39" s="77" t="n"/>
      <c r="C39" s="77" t="n"/>
      <c r="D39" s="77" t="n"/>
      <c r="E39" s="77" t="n"/>
      <c r="F39" s="77" t="n"/>
      <c r="G39" s="77" t="n"/>
      <c r="H39" s="77" t="n"/>
      <c r="I39" s="78" t="n"/>
    </row>
  </sheetData>
  <mergeCells count="22">
    <mergeCell ref="A7:I7"/>
    <mergeCell ref="D13:F13"/>
    <mergeCell ref="D17:F17"/>
    <mergeCell ref="A12:I12"/>
    <mergeCell ref="D16:F16"/>
    <mergeCell ref="A2:I2"/>
    <mergeCell ref="D4:I4"/>
    <mergeCell ref="D37:I37"/>
    <mergeCell ref="D18:F18"/>
    <mergeCell ref="A23:I23"/>
    <mergeCell ref="D3:I3"/>
    <mergeCell ref="D15:F15"/>
    <mergeCell ref="D14:F14"/>
    <mergeCell ref="D5:I5"/>
    <mergeCell ref="D35:I35"/>
    <mergeCell ref="A39:I39"/>
    <mergeCell ref="A34:I34"/>
    <mergeCell ref="D20:F20"/>
    <mergeCell ref="D19:F19"/>
    <mergeCell ref="A1:I1"/>
    <mergeCell ref="D36:I36"/>
    <mergeCell ref="D21:F21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zoomScaleNormal="100" workbookViewId="0">
      <selection activeCell="B25" sqref="B25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ЕЖЕДНЕВНЫЙ ОТЧЁТ — МОЙКА  |  Данные из 1С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Дата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26" customHeight="1" s="47">
      <c r="A5" s="64" t="n"/>
      <c r="B5" s="65" t="inlineStr">
        <is>
          <t>Руководитель (авто):</t>
        </is>
      </c>
      <c r="C5" s="64" t="n"/>
      <c r="D5" s="66" t="n"/>
      <c r="E5" s="66" t="n"/>
      <c r="F5" s="66" t="n"/>
      <c r="G5" s="66" t="n"/>
      <c r="H5" s="66" t="n"/>
      <c r="I5" s="66" t="n"/>
    </row>
    <row r="6" ht="33" customHeight="1" s="47">
      <c r="A6" s="67" t="inlineStr">
        <is>
          <t xml:space="preserve">  КЛЮЧЕВЫЕ ПОКАЗАТЕЛИ (из 1С) Мойка на ул. Строителей</t>
        </is>
      </c>
      <c r="B6" s="79" t="n"/>
      <c r="C6" s="79" t="n"/>
      <c r="D6" s="79" t="n"/>
      <c r="E6" s="79" t="n"/>
      <c r="F6" s="79" t="n"/>
      <c r="G6" s="79" t="n"/>
      <c r="H6" s="79" t="n"/>
      <c r="I6" s="80" t="n"/>
    </row>
    <row r="7" ht="33" customHeight="1" s="47">
      <c r="A7" s="68" t="n"/>
      <c r="B7" s="68" t="inlineStr">
        <is>
          <t>Показатель</t>
        </is>
      </c>
      <c r="C7" s="68" t="n"/>
      <c r="D7" s="68" t="inlineStr">
        <is>
          <t>ПЛАН</t>
        </is>
      </c>
      <c r="E7" s="68" t="n"/>
      <c r="F7" s="68" t="inlineStr">
        <is>
          <t>ФАКТ (1С)</t>
        </is>
      </c>
      <c r="G7" s="68" t="n"/>
      <c r="H7" s="68" t="inlineStr">
        <is>
          <t>%</t>
        </is>
      </c>
      <c r="I7" s="68" t="inlineStr">
        <is>
          <t>Ед.</t>
        </is>
      </c>
    </row>
    <row r="8" ht="33" customHeight="1" s="47">
      <c r="A8" s="69" t="n"/>
      <c r="B8" s="69" t="inlineStr">
        <is>
          <t>Машин обслужено</t>
        </is>
      </c>
      <c r="C8" s="70" t="n"/>
      <c r="D8" s="81" t="n"/>
      <c r="E8" s="70" t="n"/>
      <c r="F8" s="81" t="n"/>
      <c r="G8" s="70" t="n"/>
      <c r="H8" s="82">
        <f>IFERROR(IF(AND(ISNUMBER(D8),ISNUMBER(F8),D8&gt;0),F8/D8,"—"),"—")</f>
        <v/>
      </c>
      <c r="I8" s="70" t="inlineStr">
        <is>
          <t>шт.</t>
        </is>
      </c>
    </row>
    <row r="9" ht="33" customHeight="1" s="47">
      <c r="A9" s="69" t="n"/>
      <c r="B9" s="69" t="inlineStr">
        <is>
          <t>Выручка за день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руб.</t>
        </is>
      </c>
    </row>
    <row r="10" ht="33" customHeight="1" s="47">
      <c r="A10" s="69" t="n"/>
      <c r="B10" s="69" t="inlineStr">
        <is>
          <t>Средний чек (руб./машина)</t>
        </is>
      </c>
      <c r="C10" s="70" t="n"/>
      <c r="D10" s="81">
        <f>IFERROR(D9/D8,"—")</f>
        <v/>
      </c>
      <c r="E10" s="70" t="n"/>
      <c r="F10" s="81">
        <f>IFERROR(F9/F8,"—")</f>
        <v/>
      </c>
      <c r="G10" s="70" t="n"/>
      <c r="H10" s="82">
        <f>IFERROR(IF(AND(ISNUMBER(D10),ISNUMBER(F10),D10&gt;0),F10/D10,"—"),"—")</f>
        <v/>
      </c>
      <c r="I10" s="70" t="inlineStr">
        <is>
          <t>руб.</t>
        </is>
      </c>
    </row>
    <row r="11" ht="8" customHeight="1" s="47">
      <c r="A11" s="55" t="n"/>
      <c r="B11" s="55" t="n"/>
      <c r="C11" s="55" t="n"/>
      <c r="D11" s="83" t="n"/>
      <c r="E11" s="55" t="n"/>
      <c r="F11" s="83" t="n"/>
      <c r="G11" s="55" t="n"/>
      <c r="H11" s="83" t="n"/>
      <c r="I11" s="55" t="n"/>
    </row>
    <row r="12" ht="33" customHeight="1" s="47" thickBot="1">
      <c r="A12" s="67" t="inlineStr">
        <is>
          <t xml:space="preserve">  КЛЮЧЕВЫЕ ПОКАЗАТЕЛИ (из 1С) Мойка на ул. Ульяновская</t>
        </is>
      </c>
      <c r="B12" s="79" t="n"/>
      <c r="C12" s="79" t="n"/>
      <c r="D12" s="79" t="n"/>
      <c r="E12" s="79" t="n"/>
      <c r="F12" s="79" t="n"/>
      <c r="G12" s="79" t="n"/>
      <c r="H12" s="79" t="n"/>
      <c r="I12" s="80" t="n"/>
    </row>
    <row r="13" ht="33" customHeight="1" s="47">
      <c r="A13" s="68" t="n"/>
      <c r="B13" s="68" t="inlineStr">
        <is>
          <t>Показатель</t>
        </is>
      </c>
      <c r="C13" s="68" t="n"/>
      <c r="D13" s="68" t="inlineStr">
        <is>
          <t>ПЛАН</t>
        </is>
      </c>
      <c r="E13" s="68" t="n"/>
      <c r="F13" s="68" t="inlineStr">
        <is>
          <t>ФАКТ (1С)</t>
        </is>
      </c>
      <c r="G13" s="68" t="n"/>
      <c r="H13" s="68" t="inlineStr">
        <is>
          <t>%</t>
        </is>
      </c>
      <c r="I13" s="68" t="inlineStr">
        <is>
          <t>Ед.</t>
        </is>
      </c>
    </row>
    <row r="14" ht="33" customHeight="1" s="47">
      <c r="A14" s="69" t="n"/>
      <c r="B14" s="69" t="inlineStr">
        <is>
          <t>Машин обслужено</t>
        </is>
      </c>
      <c r="C14" s="70" t="n"/>
      <c r="D14" s="81" t="n"/>
      <c r="E14" s="70" t="n"/>
      <c r="F14" s="81" t="n"/>
      <c r="G14" s="70" t="n"/>
      <c r="H14" s="82">
        <f>IFERROR(IF(AND(ISNUMBER(D14),ISNUMBER(F14),D14&gt;0),F14/D14,"—"),"—")</f>
        <v/>
      </c>
      <c r="I14" s="70" t="inlineStr">
        <is>
          <t>шт.</t>
        </is>
      </c>
    </row>
    <row r="15" ht="33" customHeight="1" s="47">
      <c r="A15" s="69" t="n"/>
      <c r="B15" s="69" t="inlineStr">
        <is>
          <t>Выручка за день</t>
        </is>
      </c>
      <c r="C15" s="70" t="n"/>
      <c r="D15" s="81" t="n"/>
      <c r="E15" s="70" t="n"/>
      <c r="F15" s="81" t="n"/>
      <c r="G15" s="70" t="n"/>
      <c r="H15" s="82">
        <f>IFERROR(IF(AND(ISNUMBER(D15),ISNUMBER(F15),D15&gt;0),F15/D15,"—"),"—")</f>
        <v/>
      </c>
      <c r="I15" s="70" t="inlineStr">
        <is>
          <t>руб.</t>
        </is>
      </c>
    </row>
    <row r="16" ht="33" customHeight="1" s="47">
      <c r="A16" s="69" t="n"/>
      <c r="B16" s="69" t="inlineStr">
        <is>
          <t>Средний чек (руб./машина)</t>
        </is>
      </c>
      <c r="C16" s="70" t="n"/>
      <c r="D16" s="81">
        <f>IFERROR(D15/D14,"—")</f>
        <v/>
      </c>
      <c r="E16" s="70" t="n"/>
      <c r="F16" s="81">
        <f>IFERROR(F15/F14,"—")</f>
        <v/>
      </c>
      <c r="G16" s="70" t="n"/>
      <c r="H16" s="82">
        <f>IFERROR(IF(AND(ISNUMBER(D16),ISNUMBER(F16),D16&gt;0),F16/D16,"—"),"—")</f>
        <v/>
      </c>
      <c r="I16" s="70" t="inlineStr">
        <is>
          <t>руб.</t>
        </is>
      </c>
    </row>
    <row r="17" ht="33" customHeight="1" s="47">
      <c r="A17" s="69" t="inlineStr">
        <is>
          <t>🤖 Генерируется автоматически в 11:00 | Данные: 1С Альфа-Авто | Отправка: Битрикс24</t>
        </is>
      </c>
      <c r="B17" s="77" t="n"/>
      <c r="C17" s="77" t="n"/>
      <c r="D17" s="77" t="n"/>
      <c r="E17" s="77" t="n"/>
      <c r="F17" s="77" t="n"/>
      <c r="G17" s="77" t="n"/>
      <c r="H17" s="77" t="n"/>
      <c r="I17" s="78" t="n"/>
    </row>
  </sheetData>
  <mergeCells count="7">
    <mergeCell ref="A2:I2"/>
    <mergeCell ref="D4:I4"/>
    <mergeCell ref="A1:I1"/>
    <mergeCell ref="A17:I17"/>
    <mergeCell ref="A6:I6"/>
    <mergeCell ref="D3:I3"/>
    <mergeCell ref="A12:I12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ЕЖЕНЕДЕЛЬНЫЙ ОТЧЁТ — МОЙКА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Неделя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30" customHeight="1" s="47">
      <c r="A5" s="64" t="n"/>
      <c r="B5" s="65" t="inlineStr">
        <is>
          <t>Руководитель (авто):</t>
        </is>
      </c>
      <c r="C5" s="64" t="n"/>
      <c r="D5" s="66" t="n"/>
      <c r="E5" s="77" t="n"/>
      <c r="F5" s="77" t="n"/>
      <c r="G5" s="77" t="n"/>
      <c r="H5" s="77" t="n"/>
      <c r="I5" s="78" t="n"/>
    </row>
    <row r="6" ht="8" customHeight="1" s="47">
      <c r="A6" s="55" t="n"/>
      <c r="B6" s="55" t="n"/>
      <c r="C6" s="55" t="n"/>
      <c r="D6" s="55" t="n"/>
      <c r="E6" s="55" t="n"/>
      <c r="F6" s="55" t="n"/>
      <c r="G6" s="55" t="n"/>
      <c r="H6" s="55" t="n"/>
      <c r="I6" s="55" t="n"/>
    </row>
    <row r="7" ht="33" customHeight="1" s="47">
      <c r="A7" s="67" t="inlineStr">
        <is>
          <t xml:space="preserve">  1.  КЛЮЧЕВЫЕ ПОКАЗАТЕЛИ  [из 1С]</t>
        </is>
      </c>
      <c r="B7" s="79" t="n"/>
      <c r="C7" s="79" t="n"/>
      <c r="D7" s="79" t="n"/>
      <c r="E7" s="79" t="n"/>
      <c r="F7" s="79" t="n"/>
      <c r="G7" s="79" t="n"/>
      <c r="H7" s="79" t="n"/>
      <c r="I7" s="80" t="n"/>
    </row>
    <row r="8" ht="33" customHeight="1" s="47">
      <c r="A8" s="68" t="n"/>
      <c r="B8" s="68" t="inlineStr">
        <is>
          <t>Показатель</t>
        </is>
      </c>
      <c r="C8" s="68" t="n"/>
      <c r="D8" s="68" t="inlineStr">
        <is>
          <t>ПЛАН</t>
        </is>
      </c>
      <c r="E8" s="68" t="n"/>
      <c r="F8" s="68" t="inlineStr">
        <is>
          <t>ФАКТ (1С)</t>
        </is>
      </c>
      <c r="G8" s="68" t="n"/>
      <c r="H8" s="68" t="inlineStr">
        <is>
          <t>%</t>
        </is>
      </c>
      <c r="I8" s="68" t="inlineStr">
        <is>
          <t>Ед.</t>
        </is>
      </c>
    </row>
    <row r="9" ht="33" customHeight="1" s="47">
      <c r="A9" s="69" t="n"/>
      <c r="B9" s="69" t="inlineStr">
        <is>
          <t>Машин за неделю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шт.</t>
        </is>
      </c>
    </row>
    <row r="10" ht="33" customHeight="1" s="47">
      <c r="A10" s="69" t="n"/>
      <c r="B10" s="69" t="inlineStr">
        <is>
          <t>Выручка за неделю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руб.</t>
        </is>
      </c>
    </row>
    <row r="11" ht="33" customHeight="1" s="47">
      <c r="A11" s="69" t="n"/>
      <c r="B11" s="69" t="inlineStr">
        <is>
          <t>Средний чек</t>
        </is>
      </c>
      <c r="C11" s="70" t="n"/>
      <c r="D11" s="81">
        <f>IFERROR(D10/D9,"—")</f>
        <v/>
      </c>
      <c r="E11" s="70" t="n"/>
      <c r="F11" s="81">
        <f>IFERROR(F10/F9,"—")</f>
        <v/>
      </c>
      <c r="G11" s="70" t="n"/>
      <c r="H11" s="82">
        <f>IFERROR(IF(AND(ISNUMBER(D11),ISNUMBER(F11),D11&gt;0),F11/D11,"—"),"—")</f>
        <v/>
      </c>
      <c r="I11" s="70" t="inlineStr">
        <is>
          <t>руб.</t>
        </is>
      </c>
    </row>
    <row r="12" ht="8" customHeight="1" s="47">
      <c r="A12" s="55" t="n"/>
      <c r="B12" s="55" t="n"/>
      <c r="C12" s="55" t="n"/>
      <c r="D12" s="83" t="n"/>
      <c r="E12" s="55" t="n"/>
      <c r="F12" s="83" t="n"/>
      <c r="G12" s="55" t="n"/>
      <c r="H12" s="83" t="n"/>
      <c r="I12" s="55" t="n"/>
    </row>
    <row r="13" ht="33" customHeight="1" s="47">
      <c r="A13" s="67" t="inlineStr">
        <is>
          <t xml:space="preserve">  2.  ДИНАМИКА ПО ДНЯМ  [из 1С]</t>
        </is>
      </c>
      <c r="B13" s="79" t="n"/>
      <c r="C13" s="79" t="n"/>
      <c r="D13" s="79" t="n"/>
      <c r="E13" s="79" t="n"/>
      <c r="F13" s="79" t="n"/>
      <c r="G13" s="79" t="n"/>
      <c r="H13" s="79" t="n"/>
      <c r="I13" s="80" t="n"/>
    </row>
    <row r="14" ht="33" customHeight="1" s="47">
      <c r="A14" s="69" t="n"/>
      <c r="B14" s="69" t="inlineStr">
        <is>
          <t>День</t>
        </is>
      </c>
      <c r="C14" s="70" t="n"/>
      <c r="D14" s="70" t="inlineStr">
        <is>
          <t>Машин</t>
        </is>
      </c>
      <c r="E14" s="70" t="n"/>
      <c r="F14" s="70" t="inlineStr">
        <is>
          <t>Выручка</t>
        </is>
      </c>
      <c r="G14" s="70" t="n"/>
      <c r="H14" s="70" t="inlineStr">
        <is>
          <t>Ср.чек</t>
        </is>
      </c>
      <c r="I14" s="70" t="inlineStr">
        <is>
          <t>Операторов</t>
        </is>
      </c>
    </row>
    <row r="15" ht="33" customHeight="1" s="47">
      <c r="A15" s="69" t="n"/>
      <c r="B15" s="69" t="inlineStr">
        <is>
          <t>Пн</t>
        </is>
      </c>
      <c r="C15" s="70" t="n"/>
      <c r="D15" s="81" t="n"/>
      <c r="E15" s="70" t="n"/>
      <c r="F15" s="81" t="n"/>
      <c r="G15" s="70" t="n"/>
      <c r="H15" s="81">
        <f>IFERROR(F15/D15,"—")</f>
        <v/>
      </c>
      <c r="I15" s="70" t="n"/>
    </row>
    <row r="16" ht="33" customHeight="1" s="47">
      <c r="A16" s="69" t="n"/>
      <c r="B16" s="69" t="inlineStr">
        <is>
          <t>Вт</t>
        </is>
      </c>
      <c r="C16" s="70" t="n"/>
      <c r="D16" s="81" t="n"/>
      <c r="E16" s="70" t="n"/>
      <c r="F16" s="81" t="n"/>
      <c r="G16" s="70" t="n"/>
      <c r="H16" s="81">
        <f>IFERROR(F16/D16,"—")</f>
        <v/>
      </c>
      <c r="I16" s="70" t="n"/>
    </row>
    <row r="17" ht="33" customHeight="1" s="47">
      <c r="A17" s="69" t="n"/>
      <c r="B17" s="69" t="inlineStr">
        <is>
          <t>Ср</t>
        </is>
      </c>
      <c r="C17" s="70" t="n"/>
      <c r="D17" s="81" t="n"/>
      <c r="E17" s="70" t="n"/>
      <c r="F17" s="81" t="n"/>
      <c r="G17" s="70" t="n"/>
      <c r="H17" s="81">
        <f>IFERROR(F17/D17,"—")</f>
        <v/>
      </c>
      <c r="I17" s="70" t="n"/>
    </row>
    <row r="18" ht="33" customHeight="1" s="47">
      <c r="A18" s="69" t="n"/>
      <c r="B18" s="69" t="inlineStr">
        <is>
          <t>Чт</t>
        </is>
      </c>
      <c r="C18" s="70" t="n"/>
      <c r="D18" s="81" t="n"/>
      <c r="E18" s="70" t="n"/>
      <c r="F18" s="81" t="n"/>
      <c r="G18" s="70" t="n"/>
      <c r="H18" s="81">
        <f>IFERROR(F18/D18,"—")</f>
        <v/>
      </c>
      <c r="I18" s="70" t="n"/>
    </row>
    <row r="19" ht="33" customHeight="1" s="47">
      <c r="A19" s="69" t="n"/>
      <c r="B19" s="69" t="inlineStr">
        <is>
          <t>Пт</t>
        </is>
      </c>
      <c r="C19" s="70" t="n"/>
      <c r="D19" s="81" t="n"/>
      <c r="E19" s="70" t="n"/>
      <c r="F19" s="81" t="n"/>
      <c r="G19" s="70" t="n"/>
      <c r="H19" s="81">
        <f>IFERROR(F19/D19,"—")</f>
        <v/>
      </c>
      <c r="I19" s="70" t="n"/>
    </row>
    <row r="20" ht="33" customHeight="1" s="47">
      <c r="A20" s="69" t="n"/>
      <c r="B20" s="69" t="inlineStr">
        <is>
          <t>Сб</t>
        </is>
      </c>
      <c r="C20" s="70" t="n"/>
      <c r="D20" s="81" t="n"/>
      <c r="E20" s="70" t="n"/>
      <c r="F20" s="81" t="n"/>
      <c r="G20" s="70" t="n"/>
      <c r="H20" s="81">
        <f>IFERROR(F20/D20,"—")</f>
        <v/>
      </c>
      <c r="I20" s="70" t="n"/>
    </row>
    <row r="21" ht="33" customHeight="1" s="47">
      <c r="A21" s="69" t="n"/>
      <c r="B21" s="69" t="inlineStr">
        <is>
          <t>Вс</t>
        </is>
      </c>
      <c r="C21" s="70" t="n"/>
      <c r="D21" s="81" t="n"/>
      <c r="E21" s="70" t="n"/>
      <c r="F21" s="81" t="n"/>
      <c r="G21" s="70" t="n"/>
      <c r="H21" s="81">
        <f>IFERROR(F21/D21,"—")</f>
        <v/>
      </c>
      <c r="I21" s="70" t="n"/>
    </row>
    <row r="22" ht="33" customHeight="1" s="47">
      <c r="A22" s="69" t="n"/>
      <c r="B22" s="69" t="inlineStr">
        <is>
          <t>ИТОГО</t>
        </is>
      </c>
      <c r="C22" s="70" t="n"/>
      <c r="D22" s="81">
        <f>SUM(D15:D21)</f>
        <v/>
      </c>
      <c r="E22" s="70" t="n"/>
      <c r="F22" s="81">
        <f>SUM(F15:F21)</f>
        <v/>
      </c>
      <c r="G22" s="70" t="n"/>
      <c r="H22" s="81">
        <f>IFERROR(F22/D22,"—")</f>
        <v/>
      </c>
      <c r="I22" s="70" t="n"/>
    </row>
    <row r="23" ht="8" customHeight="1" s="47">
      <c r="A23" s="55" t="n"/>
      <c r="B23" s="55" t="n"/>
      <c r="C23" s="55" t="n"/>
      <c r="D23" s="83" t="n"/>
      <c r="E23" s="55" t="n"/>
      <c r="F23" s="83" t="n"/>
      <c r="G23" s="55" t="n"/>
      <c r="H23" s="83" t="n"/>
      <c r="I23" s="55" t="n"/>
    </row>
    <row r="24" ht="33" customHeight="1" s="47">
      <c r="A24" s="67" t="inlineStr">
        <is>
          <t xml:space="preserve">  3.  КОММЕНТАРИЙ РУКОВОДИТЕЛЯ  [вручную]</t>
        </is>
      </c>
      <c r="B24" s="79" t="n"/>
      <c r="C24" s="79" t="n"/>
      <c r="D24" s="79" t="n"/>
      <c r="E24" s="79" t="n"/>
      <c r="F24" s="79" t="n"/>
      <c r="G24" s="79" t="n"/>
      <c r="H24" s="79" t="n"/>
      <c r="I24" s="80" t="n"/>
    </row>
    <row r="25" ht="33" customHeight="1" s="47">
      <c r="A25" s="69" t="n"/>
      <c r="B25" s="69" t="inlineStr">
        <is>
          <t>Вопрос</t>
        </is>
      </c>
      <c r="C25" s="70" t="n"/>
      <c r="D25" s="70" t="inlineStr">
        <is>
          <t>Ответ / комментарий</t>
        </is>
      </c>
      <c r="E25" s="77" t="n"/>
      <c r="F25" s="77" t="n"/>
      <c r="G25" s="77" t="n"/>
      <c r="H25" s="77" t="n"/>
      <c r="I25" s="78" t="n"/>
    </row>
    <row r="26" ht="33" customHeight="1" s="47">
      <c r="A26" s="69" t="n"/>
      <c r="B26" s="69" t="inlineStr">
        <is>
          <t>Что повлияло на трафик за неделю?</t>
        </is>
      </c>
      <c r="C26" s="70" t="n"/>
      <c r="D26" s="70" t="inlineStr">
        <is>
          <t>введите комментарий...</t>
        </is>
      </c>
      <c r="E26" s="77" t="n"/>
      <c r="F26" s="77" t="n"/>
      <c r="G26" s="77" t="n"/>
      <c r="H26" s="77" t="n"/>
      <c r="I26" s="78" t="n"/>
    </row>
    <row r="27" ht="33" customHeight="1" s="47">
      <c r="A27" s="69" t="n"/>
      <c r="B27" s="69" t="inlineStr">
        <is>
          <t>Проблемы с оборудованием/химией</t>
        </is>
      </c>
      <c r="C27" s="70" t="n"/>
      <c r="D27" s="70" t="inlineStr">
        <is>
          <t>введите комментарий...</t>
        </is>
      </c>
      <c r="E27" s="77" t="n"/>
      <c r="F27" s="77" t="n"/>
      <c r="G27" s="77" t="n"/>
      <c r="H27" s="77" t="n"/>
      <c r="I27" s="78" t="n"/>
    </row>
    <row r="28" ht="33" customHeight="1" s="47">
      <c r="A28" s="69" t="n"/>
      <c r="B28" s="69" t="inlineStr">
        <is>
          <t>Задачи на следующую неделю</t>
        </is>
      </c>
      <c r="C28" s="70" t="n"/>
      <c r="D28" s="70" t="inlineStr">
        <is>
          <t>введите комментарий...</t>
        </is>
      </c>
      <c r="E28" s="77" t="n"/>
      <c r="F28" s="77" t="n"/>
      <c r="G28" s="77" t="n"/>
      <c r="H28" s="77" t="n"/>
      <c r="I28" s="78" t="n"/>
    </row>
    <row r="29" ht="33" customHeight="1" s="47">
      <c r="A29" s="69" t="n"/>
      <c r="B29" s="69" t="inlineStr">
        <is>
          <t>Что требует решения ГД?</t>
        </is>
      </c>
      <c r="C29" s="70" t="n"/>
      <c r="D29" s="70" t="inlineStr">
        <is>
          <t>введите комментарий...</t>
        </is>
      </c>
      <c r="E29" s="77" t="n"/>
      <c r="F29" s="77" t="n"/>
      <c r="G29" s="77" t="n"/>
      <c r="H29" s="77" t="n"/>
      <c r="I29" s="78" t="n"/>
    </row>
    <row r="30" ht="8" customHeight="1" s="47">
      <c r="A30" s="55" t="n"/>
      <c r="B30" s="55" t="n"/>
      <c r="C30" s="55" t="n"/>
      <c r="D30" s="83" t="n"/>
      <c r="E30" s="55" t="n"/>
      <c r="F30" s="83" t="n"/>
      <c r="G30" s="55" t="n"/>
      <c r="H30" s="83" t="n"/>
      <c r="I30" s="55" t="n"/>
    </row>
    <row r="31" ht="33" customHeight="1" s="47">
      <c r="A31" s="69" t="inlineStr">
        <is>
          <t>🤖 Данные 1С — авто | 🖊 Комментарии — руководитель до 11:00 пн | Битрикс24</t>
        </is>
      </c>
      <c r="B31" s="77" t="n"/>
      <c r="C31" s="77" t="n"/>
      <c r="D31" s="77" t="n"/>
      <c r="E31" s="77" t="n"/>
      <c r="F31" s="77" t="n"/>
      <c r="G31" s="77" t="n"/>
      <c r="H31" s="77" t="n"/>
      <c r="I31" s="78" t="n"/>
    </row>
  </sheetData>
  <mergeCells count="14">
    <mergeCell ref="A7:I7"/>
    <mergeCell ref="D27:I27"/>
    <mergeCell ref="A2:I2"/>
    <mergeCell ref="D28:I28"/>
    <mergeCell ref="D29:I29"/>
    <mergeCell ref="D4:I4"/>
    <mergeCell ref="D5:I5"/>
    <mergeCell ref="A13:I13"/>
    <mergeCell ref="A1:I1"/>
    <mergeCell ref="A31:I31"/>
    <mergeCell ref="D3:I3"/>
    <mergeCell ref="A24:I24"/>
    <mergeCell ref="D25:I25"/>
    <mergeCell ref="D26:I26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ColWidth="8.7109375" defaultRowHeight="15"/>
  <cols>
    <col width="2" customWidth="1" style="47" min="1" max="1"/>
    <col width="48" customWidth="1" style="47" min="2" max="2"/>
    <col width="2" customWidth="1" style="47" min="3" max="3"/>
    <col width="15" customWidth="1" style="47" min="4" max="4"/>
    <col width="2" customWidth="1" style="47" min="5" max="5"/>
    <col width="15" customWidth="1" style="47" min="6" max="6"/>
    <col width="2" customWidth="1" style="47" min="7" max="7"/>
    <col width="14" customWidth="1" style="47" min="8" max="8"/>
    <col width="16" customWidth="1" style="47" min="9" max="9"/>
    <col hidden="1" width="2" customWidth="1" style="47" min="10" max="10"/>
    <col hidden="1" width="2" customWidth="1" style="47" min="11" max="11"/>
  </cols>
  <sheetData>
    <row r="1" ht="34" customHeight="1" s="47">
      <c r="A1" s="90" t="inlineStr">
        <is>
          <t>ЕЖЕНЕДЕЛЬНЫЙ ОТЧЁТ — МОЙКА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idden="1" ht="32" customHeight="1" s="47">
      <c r="A2" s="91" t="inlineStr">
        <is>
          <t xml:space="preserve">  🔵 Синий = из 1С автоматически     🟡 Жёлтый = вводит руководитель</t>
        </is>
      </c>
      <c r="B2" s="76" t="n"/>
      <c r="C2" s="76" t="n"/>
      <c r="D2" s="76" t="n"/>
      <c r="E2" s="76" t="n"/>
      <c r="F2" s="76" t="n"/>
      <c r="G2" s="76" t="n"/>
      <c r="H2" s="76" t="n"/>
      <c r="I2" s="76" t="n"/>
    </row>
    <row r="3" ht="30" customHeight="1" s="47">
      <c r="A3" s="64" t="n"/>
      <c r="B3" s="65" t="inlineStr">
        <is>
          <t>АТЦ:</t>
        </is>
      </c>
      <c r="C3" s="64" t="n"/>
      <c r="D3" s="66" t="n"/>
      <c r="E3" s="77" t="n"/>
      <c r="F3" s="77" t="n"/>
      <c r="G3" s="77" t="n"/>
      <c r="H3" s="77" t="n"/>
      <c r="I3" s="78" t="n"/>
    </row>
    <row r="4" ht="30" customHeight="1" s="47">
      <c r="A4" s="64" t="n"/>
      <c r="B4" s="65" t="inlineStr">
        <is>
          <t>Неделя (авто):</t>
        </is>
      </c>
      <c r="C4" s="64" t="n"/>
      <c r="D4" s="66" t="n"/>
      <c r="E4" s="77" t="n"/>
      <c r="F4" s="77" t="n"/>
      <c r="G4" s="77" t="n"/>
      <c r="H4" s="77" t="n"/>
      <c r="I4" s="78" t="n"/>
    </row>
    <row r="5" ht="30" customHeight="1" s="47">
      <c r="A5" s="64" t="n"/>
      <c r="B5" s="65" t="inlineStr">
        <is>
          <t>Руководитель (авто):</t>
        </is>
      </c>
      <c r="C5" s="64" t="n"/>
      <c r="D5" s="66" t="n"/>
      <c r="E5" s="77" t="n"/>
      <c r="F5" s="77" t="n"/>
      <c r="G5" s="77" t="n"/>
      <c r="H5" s="77" t="n"/>
      <c r="I5" s="78" t="n"/>
    </row>
    <row r="6" ht="8" customHeight="1" s="47">
      <c r="A6" s="55" t="n"/>
      <c r="B6" s="55" t="n"/>
      <c r="C6" s="55" t="n"/>
      <c r="D6" s="55" t="n"/>
      <c r="E6" s="55" t="n"/>
      <c r="F6" s="55" t="n"/>
      <c r="G6" s="55" t="n"/>
      <c r="H6" s="55" t="n"/>
      <c r="I6" s="55" t="n"/>
    </row>
    <row r="7" ht="33" customHeight="1" s="47">
      <c r="A7" s="67" t="inlineStr">
        <is>
          <t xml:space="preserve">  1.  КЛЮЧЕВЫЕ ПОКАЗАТЕЛИ  [из 1С]</t>
        </is>
      </c>
      <c r="B7" s="79" t="n"/>
      <c r="C7" s="79" t="n"/>
      <c r="D7" s="79" t="n"/>
      <c r="E7" s="79" t="n"/>
      <c r="F7" s="79" t="n"/>
      <c r="G7" s="79" t="n"/>
      <c r="H7" s="79" t="n"/>
      <c r="I7" s="80" t="n"/>
    </row>
    <row r="8" ht="33" customHeight="1" s="47">
      <c r="A8" s="68" t="n"/>
      <c r="B8" s="68" t="inlineStr">
        <is>
          <t>Показатель</t>
        </is>
      </c>
      <c r="C8" s="68" t="n"/>
      <c r="D8" s="68" t="inlineStr">
        <is>
          <t>ПЛАН</t>
        </is>
      </c>
      <c r="E8" s="68" t="n"/>
      <c r="F8" s="68" t="inlineStr">
        <is>
          <t>ФАКТ (1С)</t>
        </is>
      </c>
      <c r="G8" s="68" t="n"/>
      <c r="H8" s="68" t="inlineStr">
        <is>
          <t>%</t>
        </is>
      </c>
      <c r="I8" s="68" t="inlineStr">
        <is>
          <t>Ед.</t>
        </is>
      </c>
    </row>
    <row r="9" ht="33" customHeight="1" s="47">
      <c r="A9" s="69" t="n"/>
      <c r="B9" s="69" t="inlineStr">
        <is>
          <t>Машин за неделю</t>
        </is>
      </c>
      <c r="C9" s="70" t="n"/>
      <c r="D9" s="81" t="n"/>
      <c r="E9" s="70" t="n"/>
      <c r="F9" s="81" t="n"/>
      <c r="G9" s="70" t="n"/>
      <c r="H9" s="82">
        <f>IFERROR(IF(AND(ISNUMBER(D9),ISNUMBER(F9),D9&gt;0),F9/D9,"—"),"—")</f>
        <v/>
      </c>
      <c r="I9" s="70" t="inlineStr">
        <is>
          <t>шт.</t>
        </is>
      </c>
    </row>
    <row r="10" ht="33" customHeight="1" s="47">
      <c r="A10" s="69" t="n"/>
      <c r="B10" s="69" t="inlineStr">
        <is>
          <t>Выручка за неделю</t>
        </is>
      </c>
      <c r="C10" s="70" t="n"/>
      <c r="D10" s="81" t="n"/>
      <c r="E10" s="70" t="n"/>
      <c r="F10" s="81" t="n"/>
      <c r="G10" s="70" t="n"/>
      <c r="H10" s="82">
        <f>IFERROR(IF(AND(ISNUMBER(D10),ISNUMBER(F10),D10&gt;0),F10/D10,"—"),"—")</f>
        <v/>
      </c>
      <c r="I10" s="70" t="inlineStr">
        <is>
          <t>руб.</t>
        </is>
      </c>
    </row>
    <row r="11" ht="33" customHeight="1" s="47">
      <c r="A11" s="69" t="n"/>
      <c r="B11" s="69" t="inlineStr">
        <is>
          <t>Средний чек</t>
        </is>
      </c>
      <c r="C11" s="70" t="n"/>
      <c r="D11" s="81">
        <f>IFERROR(D10/D9,"—")</f>
        <v/>
      </c>
      <c r="E11" s="70" t="n"/>
      <c r="F11" s="81">
        <f>IFERROR(F10/F9,"—")</f>
        <v/>
      </c>
      <c r="G11" s="70" t="n"/>
      <c r="H11" s="82">
        <f>IFERROR(IF(AND(ISNUMBER(D11),ISNUMBER(F11),D11&gt;0),F11/D11,"—"),"—")</f>
        <v/>
      </c>
      <c r="I11" s="70" t="inlineStr">
        <is>
          <t>руб.</t>
        </is>
      </c>
    </row>
    <row r="12" ht="8" customHeight="1" s="47">
      <c r="A12" s="55" t="n"/>
      <c r="B12" s="55" t="n"/>
      <c r="C12" s="55" t="n"/>
      <c r="D12" s="83" t="n"/>
      <c r="E12" s="55" t="n"/>
      <c r="F12" s="83" t="n"/>
      <c r="G12" s="55" t="n"/>
      <c r="H12" s="83" t="n"/>
      <c r="I12" s="55" t="n"/>
    </row>
    <row r="13" ht="33" customHeight="1" s="47">
      <c r="A13" s="67" t="inlineStr">
        <is>
          <t xml:space="preserve">  2.  ДИНАМИКА ПО ДНЯМ  [из 1С]</t>
        </is>
      </c>
      <c r="B13" s="79" t="n"/>
      <c r="C13" s="79" t="n"/>
      <c r="D13" s="79" t="n"/>
      <c r="E13" s="79" t="n"/>
      <c r="F13" s="79" t="n"/>
      <c r="G13" s="79" t="n"/>
      <c r="H13" s="79" t="n"/>
      <c r="I13" s="80" t="n"/>
    </row>
    <row r="14" ht="33" customHeight="1" s="47">
      <c r="A14" s="69" t="n"/>
      <c r="B14" s="69" t="inlineStr">
        <is>
          <t>День</t>
        </is>
      </c>
      <c r="C14" s="70" t="n"/>
      <c r="D14" s="70" t="inlineStr">
        <is>
          <t>Машин</t>
        </is>
      </c>
      <c r="E14" s="70" t="n"/>
      <c r="F14" s="70" t="inlineStr">
        <is>
          <t>Выручка</t>
        </is>
      </c>
      <c r="G14" s="70" t="n"/>
      <c r="H14" s="70" t="inlineStr">
        <is>
          <t>Ср.чек</t>
        </is>
      </c>
      <c r="I14" s="70" t="inlineStr">
        <is>
          <t>Операторов</t>
        </is>
      </c>
    </row>
    <row r="15" ht="33" customHeight="1" s="47">
      <c r="A15" s="69" t="n"/>
      <c r="B15" s="69" t="inlineStr">
        <is>
          <t>Пн</t>
        </is>
      </c>
      <c r="C15" s="70" t="n"/>
      <c r="D15" s="81" t="n"/>
      <c r="E15" s="70" t="n"/>
      <c r="F15" s="81" t="n"/>
      <c r="G15" s="70" t="n"/>
      <c r="H15" s="81">
        <f>IFERROR(F15/D15,"—")</f>
        <v/>
      </c>
      <c r="I15" s="70" t="n"/>
    </row>
    <row r="16" ht="33" customHeight="1" s="47">
      <c r="A16" s="69" t="n"/>
      <c r="B16" s="69" t="inlineStr">
        <is>
          <t>Вт</t>
        </is>
      </c>
      <c r="C16" s="70" t="n"/>
      <c r="D16" s="81" t="n"/>
      <c r="E16" s="70" t="n"/>
      <c r="F16" s="81" t="n"/>
      <c r="G16" s="70" t="n"/>
      <c r="H16" s="81">
        <f>IFERROR(F16/D16,"—")</f>
        <v/>
      </c>
      <c r="I16" s="70" t="n"/>
    </row>
    <row r="17" ht="33" customHeight="1" s="47">
      <c r="A17" s="69" t="n"/>
      <c r="B17" s="69" t="inlineStr">
        <is>
          <t>Ср</t>
        </is>
      </c>
      <c r="C17" s="70" t="n"/>
      <c r="D17" s="81" t="n"/>
      <c r="E17" s="70" t="n"/>
      <c r="F17" s="81" t="n"/>
      <c r="G17" s="70" t="n"/>
      <c r="H17" s="81">
        <f>IFERROR(F17/D17,"—")</f>
        <v/>
      </c>
      <c r="I17" s="70" t="n"/>
    </row>
    <row r="18" ht="33" customHeight="1" s="47">
      <c r="A18" s="69" t="n"/>
      <c r="B18" s="69" t="inlineStr">
        <is>
          <t>Чт</t>
        </is>
      </c>
      <c r="C18" s="70" t="n"/>
      <c r="D18" s="81" t="n"/>
      <c r="E18" s="70" t="n"/>
      <c r="F18" s="81" t="n"/>
      <c r="G18" s="70" t="n"/>
      <c r="H18" s="81">
        <f>IFERROR(F18/D18,"—")</f>
        <v/>
      </c>
      <c r="I18" s="70" t="n"/>
    </row>
    <row r="19" ht="33" customHeight="1" s="47">
      <c r="A19" s="69" t="n"/>
      <c r="B19" s="69" t="inlineStr">
        <is>
          <t>Пт</t>
        </is>
      </c>
      <c r="C19" s="70" t="n"/>
      <c r="D19" s="81" t="n"/>
      <c r="E19" s="70" t="n"/>
      <c r="F19" s="81" t="n"/>
      <c r="G19" s="70" t="n"/>
      <c r="H19" s="81">
        <f>IFERROR(F19/D19,"—")</f>
        <v/>
      </c>
      <c r="I19" s="70" t="n"/>
    </row>
    <row r="20" ht="33" customHeight="1" s="47">
      <c r="A20" s="69" t="n"/>
      <c r="B20" s="69" t="inlineStr">
        <is>
          <t>Сб</t>
        </is>
      </c>
      <c r="C20" s="70" t="n"/>
      <c r="D20" s="81" t="n"/>
      <c r="E20" s="70" t="n"/>
      <c r="F20" s="81" t="n"/>
      <c r="G20" s="70" t="n"/>
      <c r="H20" s="81">
        <f>IFERROR(F20/D20,"—")</f>
        <v/>
      </c>
      <c r="I20" s="70" t="n"/>
    </row>
    <row r="21" ht="33" customHeight="1" s="47">
      <c r="A21" s="69" t="n"/>
      <c r="B21" s="69" t="inlineStr">
        <is>
          <t>Вс</t>
        </is>
      </c>
      <c r="C21" s="70" t="n"/>
      <c r="D21" s="81" t="n"/>
      <c r="E21" s="70" t="n"/>
      <c r="F21" s="81" t="n"/>
      <c r="G21" s="70" t="n"/>
      <c r="H21" s="81">
        <f>IFERROR(F21/D21,"—")</f>
        <v/>
      </c>
      <c r="I21" s="70" t="n"/>
    </row>
    <row r="22" ht="33" customHeight="1" s="47">
      <c r="A22" s="69" t="n"/>
      <c r="B22" s="69" t="inlineStr">
        <is>
          <t>ИТОГО</t>
        </is>
      </c>
      <c r="C22" s="70" t="n"/>
      <c r="D22" s="81">
        <f>SUM(D15:D21)</f>
        <v/>
      </c>
      <c r="E22" s="70" t="n"/>
      <c r="F22" s="81">
        <f>SUM(F15:F21)</f>
        <v/>
      </c>
      <c r="G22" s="70" t="n"/>
      <c r="H22" s="81">
        <f>IFERROR(F22/D22,"—")</f>
        <v/>
      </c>
      <c r="I22" s="70" t="n"/>
    </row>
    <row r="23" ht="8" customHeight="1" s="47">
      <c r="A23" s="55" t="n"/>
      <c r="B23" s="55" t="n"/>
      <c r="C23" s="55" t="n"/>
      <c r="D23" s="83" t="n"/>
      <c r="E23" s="55" t="n"/>
      <c r="F23" s="83" t="n"/>
      <c r="G23" s="55" t="n"/>
      <c r="H23" s="83" t="n"/>
      <c r="I23" s="55" t="n"/>
    </row>
    <row r="24" ht="33" customHeight="1" s="47">
      <c r="A24" s="67" t="inlineStr">
        <is>
          <t xml:space="preserve">  3.  КОММЕНТАРИЙ РУКОВОДИТЕЛЯ  [вручную]</t>
        </is>
      </c>
      <c r="B24" s="79" t="n"/>
      <c r="C24" s="79" t="n"/>
      <c r="D24" s="79" t="n"/>
      <c r="E24" s="79" t="n"/>
      <c r="F24" s="79" t="n"/>
      <c r="G24" s="79" t="n"/>
      <c r="H24" s="79" t="n"/>
      <c r="I24" s="80" t="n"/>
    </row>
    <row r="25" ht="33" customHeight="1" s="47">
      <c r="A25" s="69" t="n"/>
      <c r="B25" s="69" t="inlineStr">
        <is>
          <t>Вопрос</t>
        </is>
      </c>
      <c r="C25" s="70" t="n"/>
      <c r="D25" s="70" t="inlineStr">
        <is>
          <t>Ответ / комментарий</t>
        </is>
      </c>
      <c r="E25" s="77" t="n"/>
      <c r="F25" s="77" t="n"/>
      <c r="G25" s="77" t="n"/>
      <c r="H25" s="77" t="n"/>
      <c r="I25" s="78" t="n"/>
    </row>
    <row r="26" ht="33" customHeight="1" s="47">
      <c r="A26" s="69" t="n"/>
      <c r="B26" s="69" t="inlineStr">
        <is>
          <t>Что повлияло на трафик за неделю?</t>
        </is>
      </c>
      <c r="C26" s="70" t="n"/>
      <c r="D26" s="70" t="inlineStr">
        <is>
          <t>введите комментарий...</t>
        </is>
      </c>
      <c r="E26" s="77" t="n"/>
      <c r="F26" s="77" t="n"/>
      <c r="G26" s="77" t="n"/>
      <c r="H26" s="77" t="n"/>
      <c r="I26" s="78" t="n"/>
    </row>
    <row r="27" ht="33" customHeight="1" s="47">
      <c r="A27" s="69" t="n"/>
      <c r="B27" s="69" t="inlineStr">
        <is>
          <t>Проблемы с оборудованием/химией</t>
        </is>
      </c>
      <c r="C27" s="70" t="n"/>
      <c r="D27" s="70" t="inlineStr">
        <is>
          <t>введите комментарий...</t>
        </is>
      </c>
      <c r="E27" s="77" t="n"/>
      <c r="F27" s="77" t="n"/>
      <c r="G27" s="77" t="n"/>
      <c r="H27" s="77" t="n"/>
      <c r="I27" s="78" t="n"/>
    </row>
    <row r="28" ht="33" customHeight="1" s="47">
      <c r="A28" s="69" t="n"/>
      <c r="B28" s="69" t="inlineStr">
        <is>
          <t>Задачи на следующую неделю</t>
        </is>
      </c>
      <c r="C28" s="70" t="n"/>
      <c r="D28" s="70" t="inlineStr">
        <is>
          <t>введите комментарий...</t>
        </is>
      </c>
      <c r="E28" s="77" t="n"/>
      <c r="F28" s="77" t="n"/>
      <c r="G28" s="77" t="n"/>
      <c r="H28" s="77" t="n"/>
      <c r="I28" s="78" t="n"/>
    </row>
    <row r="29" ht="33" customHeight="1" s="47">
      <c r="A29" s="69" t="n"/>
      <c r="B29" s="69" t="inlineStr">
        <is>
          <t>Что требует решения ГД?</t>
        </is>
      </c>
      <c r="C29" s="70" t="n"/>
      <c r="D29" s="70" t="inlineStr">
        <is>
          <t>введите комментарий...</t>
        </is>
      </c>
      <c r="E29" s="77" t="n"/>
      <c r="F29" s="77" t="n"/>
      <c r="G29" s="77" t="n"/>
      <c r="H29" s="77" t="n"/>
      <c r="I29" s="78" t="n"/>
    </row>
    <row r="30" ht="8" customHeight="1" s="47">
      <c r="A30" s="55" t="n"/>
      <c r="B30" s="55" t="n"/>
      <c r="C30" s="55" t="n"/>
      <c r="D30" s="83" t="n"/>
      <c r="E30" s="55" t="n"/>
      <c r="F30" s="83" t="n"/>
      <c r="G30" s="55" t="n"/>
      <c r="H30" s="83" t="n"/>
      <c r="I30" s="55" t="n"/>
    </row>
    <row r="31" ht="33" customHeight="1" s="47">
      <c r="A31" s="69" t="inlineStr">
        <is>
          <t>🤖 Данные 1С — авто | 🖊 Комментарии — руководитель до 11:00 пн | Битрикс24</t>
        </is>
      </c>
      <c r="B31" s="77" t="n"/>
      <c r="C31" s="77" t="n"/>
      <c r="D31" s="77" t="n"/>
      <c r="E31" s="77" t="n"/>
      <c r="F31" s="77" t="n"/>
      <c r="G31" s="77" t="n"/>
      <c r="H31" s="77" t="n"/>
      <c r="I31" s="78" t="n"/>
    </row>
  </sheetData>
  <mergeCells count="14">
    <mergeCell ref="A7:I7"/>
    <mergeCell ref="D27:I27"/>
    <mergeCell ref="A2:I2"/>
    <mergeCell ref="D28:I28"/>
    <mergeCell ref="D29:I29"/>
    <mergeCell ref="D4:I4"/>
    <mergeCell ref="D5:I5"/>
    <mergeCell ref="A13:I13"/>
    <mergeCell ref="A1:I1"/>
    <mergeCell ref="A31:I31"/>
    <mergeCell ref="D3:I3"/>
    <mergeCell ref="A24:I24"/>
    <mergeCell ref="D25:I25"/>
    <mergeCell ref="D26:I26"/>
  </mergeCells>
  <pageMargins left="0.75" right="0.75" top="1" bottom="1" header="0.511811023622047" footer="0.511811023622047"/>
  <pageSetup orientation="landscape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2026-06-18T19:26:46Z</dcterms:created>
  <dcterms:modified xmlns:dcterms="http://purl.org/dc/terms/" xmlns:xsi="http://www.w3.org/2001/XMLSchema-instance" xsi:type="dcterms:W3CDTF">2026-07-16T08:52:31Z</dcterms:modified>
  <cp:lastModifiedBy>Анна Александровна Иванова</cp:lastModifiedBy>
  <cp:revision>0</cp:revision>
</cp:coreProperties>
</file>