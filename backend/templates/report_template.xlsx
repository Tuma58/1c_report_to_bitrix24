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/>
  <mc:AlternateContent xmlns:mc="http://schemas.openxmlformats.org/markup-compatibility/2006">
    <mc:Choice Requires="x15">
      <x15ac:absPath xmlns:x15ac="http://schemas.microsoft.com/office/spreadsheetml/2010/11/ac" url="\\172.16.35.15\shared\Экономист\ФЭО Арсенал, эвакуация, Шаркер\Шаркер, Арсенал 2025\Аналитическая папка\"/>
    </mc:Choice>
  </mc:AlternateContent>
  <xr:revisionPtr revIDLastSave="0" documentId="13_ncr:1_{64E5DAF9-7A4F-4A0F-887E-87FC1D79E504}" xr6:coauthVersionLast="45" xr6:coauthVersionMax="47" xr10:uidLastSave="{00000000-0000-0000-0000-000000000000}"/>
  <bookViews>
    <workbookView xWindow="-120" yWindow="-120" windowWidth="29040" windowHeight="15840" tabRatio="713" xr2:uid="{00000000-000D-0000-FFFF-FFFF00000000}"/>
  </bookViews>
  <sheets>
    <sheet name="ТЗ и описание" sheetId="11" r:id="rId1"/>
    <sheet name="Арсенал (Д)" sheetId="1" r:id="rId2"/>
    <sheet name="Арсенал (Н)" sheetId="2" r:id="rId3"/>
    <sheet name="Реф.сервис (Д)" sheetId="3" r:id="rId4"/>
    <sheet name="Реф.сервис (Н)" sheetId="4" r:id="rId5"/>
    <sheet name="Шаркер (Д)" sheetId="5" r:id="rId6"/>
    <sheet name="Шаркер (Н)" sheetId="6" r:id="rId7"/>
    <sheet name="ЦКР (Д)" sheetId="7" r:id="rId8"/>
    <sheet name="ЦКР (Н)" sheetId="8" r:id="rId9"/>
    <sheet name="Мойка (Д)" sheetId="9" r:id="rId10"/>
    <sheet name="Мойка (Н)" sheetId="10" r:id="rId11"/>
  </sheets>
  <definedNames>
    <definedName name="_xlnm._FilterDatabase" localSheetId="0" hidden="1">'ТЗ и описание'!$A$33:$J$108</definedName>
    <definedName name="_xlnm.Print_Area" localSheetId="1">'Арсенал (Д)'!$A$1:$I$26</definedName>
    <definedName name="_xlnm.Print_Area" localSheetId="2">'Арсенал (Н)'!$A$1:$I$42</definedName>
    <definedName name="_xlnm.Print_Area" localSheetId="9">'Мойка (Д)'!$A$1:$I$17</definedName>
    <definedName name="_xlnm.Print_Area" localSheetId="10">'Мойка (Н)'!$A$1:$I$31</definedName>
    <definedName name="_xlnm.Print_Area" localSheetId="3">'Реф.сервис (Д)'!$A$1:$I$26</definedName>
    <definedName name="_xlnm.Print_Area" localSheetId="4">'Реф.сервис (Н)'!$A$1:$I$42</definedName>
    <definedName name="_xlnm.Print_Area" localSheetId="7">'ЦКР (Д)'!$A$1:$I$28</definedName>
    <definedName name="_xlnm.Print_Area" localSheetId="8">'ЦКР (Н)'!$A$1:$I$39</definedName>
    <definedName name="_xlnm.Print_Area" localSheetId="5">'Шаркер (Д)'!$A$1:$I$27</definedName>
    <definedName name="_xlnm.Print_Area" localSheetId="6">'Шаркер (Н)'!$A$1:$I$41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0" i="9" l="1"/>
  <c r="F16" i="9"/>
  <c r="D16" i="9"/>
  <c r="H15" i="9"/>
  <c r="H14" i="9"/>
  <c r="H26" i="7"/>
  <c r="H25" i="7"/>
  <c r="H25" i="5"/>
  <c r="H24" i="5"/>
  <c r="H16" i="9" l="1"/>
  <c r="F22" i="10"/>
  <c r="D22" i="10"/>
  <c r="H21" i="10"/>
  <c r="H20" i="10"/>
  <c r="H19" i="10"/>
  <c r="H18" i="10"/>
  <c r="H17" i="10"/>
  <c r="H16" i="10"/>
  <c r="H15" i="10"/>
  <c r="F11" i="10"/>
  <c r="D11" i="10"/>
  <c r="H10" i="10"/>
  <c r="H9" i="10"/>
  <c r="F10" i="9"/>
  <c r="H10" i="9" s="1"/>
  <c r="H9" i="9"/>
  <c r="H8" i="9"/>
  <c r="I32" i="8"/>
  <c r="D32" i="8"/>
  <c r="H31" i="8"/>
  <c r="H30" i="8"/>
  <c r="H29" i="8"/>
  <c r="H28" i="8"/>
  <c r="H27" i="8"/>
  <c r="H26" i="8"/>
  <c r="H25" i="8"/>
  <c r="H10" i="8"/>
  <c r="H9" i="8"/>
  <c r="H24" i="7"/>
  <c r="H23" i="7"/>
  <c r="H22" i="7"/>
  <c r="H10" i="7"/>
  <c r="H9" i="7"/>
  <c r="H8" i="7"/>
  <c r="I34" i="6"/>
  <c r="D34" i="6"/>
  <c r="H33" i="6"/>
  <c r="H32" i="6"/>
  <c r="H31" i="6"/>
  <c r="H30" i="6"/>
  <c r="H29" i="6"/>
  <c r="H28" i="6"/>
  <c r="H27" i="6"/>
  <c r="H10" i="6"/>
  <c r="H9" i="6"/>
  <c r="H23" i="5"/>
  <c r="H22" i="5"/>
  <c r="H21" i="5"/>
  <c r="H9" i="5"/>
  <c r="H8" i="5"/>
  <c r="H31" i="4"/>
  <c r="F31" i="4"/>
  <c r="D31" i="4"/>
  <c r="I30" i="4"/>
  <c r="I29" i="4"/>
  <c r="I28" i="4"/>
  <c r="I27" i="4"/>
  <c r="I26" i="4"/>
  <c r="I25" i="4"/>
  <c r="I24" i="4"/>
  <c r="H20" i="4"/>
  <c r="F19" i="4"/>
  <c r="D19" i="4"/>
  <c r="F17" i="4"/>
  <c r="F18" i="4" s="1"/>
  <c r="D17" i="4"/>
  <c r="D18" i="4" s="1"/>
  <c r="H16" i="4"/>
  <c r="H15" i="4"/>
  <c r="H11" i="4"/>
  <c r="H10" i="4"/>
  <c r="H9" i="4"/>
  <c r="H19" i="3"/>
  <c r="F18" i="3"/>
  <c r="D18" i="3"/>
  <c r="H18" i="3" s="1"/>
  <c r="F16" i="3"/>
  <c r="F17" i="3" s="1"/>
  <c r="D16" i="3"/>
  <c r="D17" i="3" s="1"/>
  <c r="H15" i="3"/>
  <c r="H14" i="3"/>
  <c r="H10" i="3"/>
  <c r="H9" i="3"/>
  <c r="H8" i="3"/>
  <c r="H31" i="2"/>
  <c r="F31" i="2"/>
  <c r="D31" i="2"/>
  <c r="I30" i="2"/>
  <c r="I29" i="2"/>
  <c r="I28" i="2"/>
  <c r="I27" i="2"/>
  <c r="I26" i="2"/>
  <c r="I25" i="2"/>
  <c r="I24" i="2"/>
  <c r="H20" i="2"/>
  <c r="F19" i="2"/>
  <c r="D19" i="2"/>
  <c r="H19" i="2" s="1"/>
  <c r="F17" i="2"/>
  <c r="F18" i="2" s="1"/>
  <c r="D17" i="2"/>
  <c r="D18" i="2" s="1"/>
  <c r="H16" i="2"/>
  <c r="H15" i="2"/>
  <c r="H11" i="2"/>
  <c r="H10" i="2"/>
  <c r="H9" i="2"/>
  <c r="H19" i="1"/>
  <c r="F18" i="1"/>
  <c r="D18" i="1"/>
  <c r="H18" i="1" s="1"/>
  <c r="F16" i="1"/>
  <c r="F17" i="1" s="1"/>
  <c r="D16" i="1"/>
  <c r="D17" i="1" s="1"/>
  <c r="H15" i="1"/>
  <c r="H14" i="1"/>
  <c r="H10" i="1"/>
  <c r="H9" i="1"/>
  <c r="H8" i="1"/>
  <c r="H18" i="4" l="1"/>
  <c r="H11" i="10"/>
  <c r="H19" i="4"/>
  <c r="I31" i="4"/>
  <c r="H22" i="10"/>
  <c r="I31" i="2"/>
  <c r="H17" i="1"/>
  <c r="H18" i="2"/>
  <c r="H17" i="3"/>
  <c r="H16" i="1"/>
  <c r="H16" i="3"/>
  <c r="H17" i="2"/>
  <c r="H17" i="4"/>
</calcChain>
</file>

<file path=xl/sharedStrings.xml><?xml version="1.0" encoding="utf-8"?>
<sst xmlns="http://schemas.openxmlformats.org/spreadsheetml/2006/main" count="754" uniqueCount="232">
  <si>
    <t>ЕЖЕДНЕВНЫЙ ОТЧЁТ — АРСЕНАЛ  |  Данные из 1С</t>
  </si>
  <si>
    <t xml:space="preserve">  🔵 Синий = из 1С автоматически     🟡 Жёлтый = вводит руководитель</t>
  </si>
  <si>
    <t>АТЦ:</t>
  </si>
  <si>
    <t>Дата (авто):</t>
  </si>
  <si>
    <t xml:space="preserve">  ВЫРАБОТКА</t>
  </si>
  <si>
    <t>Показатель</t>
  </si>
  <si>
    <t>ПЛАН</t>
  </si>
  <si>
    <t>ФАКТ (1С)</t>
  </si>
  <si>
    <t>%</t>
  </si>
  <si>
    <t>Ед.</t>
  </si>
  <si>
    <t>Нормочасы за день — общая выработка</t>
  </si>
  <si>
    <t>нч</t>
  </si>
  <si>
    <t>Выработка на 1 мастера (нч/чел.)</t>
  </si>
  <si>
    <t>нч/чел</t>
  </si>
  <si>
    <t>Закрыто ЗН за день</t>
  </si>
  <si>
    <t>шт.</t>
  </si>
  <si>
    <t xml:space="preserve">  ФИНАНСЫ</t>
  </si>
  <si>
    <t>Выручка за день</t>
  </si>
  <si>
    <t>руб.</t>
  </si>
  <si>
    <t>Себестоимость ЗЧ</t>
  </si>
  <si>
    <t>Маржа (Выручка − Себест. ЗЧ)</t>
  </si>
  <si>
    <t>Маржинальность</t>
  </si>
  <si>
    <t>Средний чек (руб./ЗН)</t>
  </si>
  <si>
    <t>Наценка на ЗЧ</t>
  </si>
  <si>
    <t xml:space="preserve">  СНАБЖЕНИЕ (из 1С)</t>
  </si>
  <si>
    <t>Значение (1С)</t>
  </si>
  <si>
    <t>Норма</t>
  </si>
  <si>
    <t>Незакрытые ЗН старше 1 дня (шт.)</t>
  </si>
  <si>
    <t>Цель: 0</t>
  </si>
  <si>
    <t>ЗН без движения &gt; 2 дней (шт.)</t>
  </si>
  <si>
    <t>🤖 Генерируется автоматически в 11:00 | Данные: 1С Альфа-Авто | Отправка: Битрикс24</t>
  </si>
  <si>
    <t>ЕЖЕНЕДЕЛЬНЫЙ ОТЧЁТ — АРСЕНАЛ</t>
  </si>
  <si>
    <t>Неделя (авто):</t>
  </si>
  <si>
    <t>Руководитель (авто):</t>
  </si>
  <si>
    <t xml:space="preserve">  1.  ВЫРАБОТКА  [из 1С]</t>
  </si>
  <si>
    <t>Нормочасы за неделю (7 дней)</t>
  </si>
  <si>
    <t>Ср. выработка мастера в день</t>
  </si>
  <si>
    <t>Закрыто ЗН за неделю</t>
  </si>
  <si>
    <t xml:space="preserve">  2.  ФИНАНСЫ  [из 1С]</t>
  </si>
  <si>
    <t>Выручка за неделю</t>
  </si>
  <si>
    <t>Маржа</t>
  </si>
  <si>
    <t>Средний чек</t>
  </si>
  <si>
    <t xml:space="preserve">  3.  ВЫРУЧКА ПО ДНЯМ  [из 1С]</t>
  </si>
  <si>
    <t>День</t>
  </si>
  <si>
    <t>Выручка</t>
  </si>
  <si>
    <t>Нормочасы</t>
  </si>
  <si>
    <t>ЗН закрыто</t>
  </si>
  <si>
    <t>Ср.чек</t>
  </si>
  <si>
    <t>Пн</t>
  </si>
  <si>
    <t>Вт</t>
  </si>
  <si>
    <t>Ср</t>
  </si>
  <si>
    <t>Чт</t>
  </si>
  <si>
    <t>Пт</t>
  </si>
  <si>
    <t>Сб</t>
  </si>
  <si>
    <t>Вс</t>
  </si>
  <si>
    <t>ИТОГО</t>
  </si>
  <si>
    <t xml:space="preserve">  4.  КОММЕНТАРИЙ РУКОВОДИТЕЛЯ  [вручную]</t>
  </si>
  <si>
    <t>Вопрос</t>
  </si>
  <si>
    <t>Ответ / комментарий руководителя</t>
  </si>
  <si>
    <t>Что повлияло на результат недели?</t>
  </si>
  <si>
    <t>введите комментарий...</t>
  </si>
  <si>
    <t>Почему не выполнен план (если так)?</t>
  </si>
  <si>
    <t>Что сделано хорошо?</t>
  </si>
  <si>
    <t>Проблемы/узкие места, требующие решения</t>
  </si>
  <si>
    <t>Задачи на следующую неделю</t>
  </si>
  <si>
    <t>Что требует решения ГД?</t>
  </si>
  <si>
    <t>🤖 Данные 1С — авто (пн 11:00) | 🖊 Комментарии — руководитель до 11:00 пн | Битрикс24</t>
  </si>
  <si>
    <t>ЕЖЕДНЕВНЫЙ ОТЧЁТ — РЕФ.СЕРВИС  |  Данные из 1С</t>
  </si>
  <si>
    <t>ЕЖЕНЕДЕЛЬНЫЙ ОТЧЁТ — РЕФ.СЕРВИС</t>
  </si>
  <si>
    <t>ЕЖЕДНЕВНЫЙ ОТЧЁТ — ШАРКЕР  |  Данные из 1С</t>
  </si>
  <si>
    <t xml:space="preserve">  ВЫРАБОТКА — из 1С (вводит мастер цеха)</t>
  </si>
  <si>
    <t>Нормочасы за день (введено мастером)</t>
  </si>
  <si>
    <t>Стоимость выработки</t>
  </si>
  <si>
    <t xml:space="preserve">  ПАЙПЛАЙН АКТИВНЫХ ЗАКАЗОВ (из 1С)</t>
  </si>
  <si>
    <t>Активных ЗН (всего в работе)</t>
  </si>
  <si>
    <t>ЗН: готовы к выдаче сегодня</t>
  </si>
  <si>
    <t>ЗН: ожидают ЗЧ (статус в 1С)</t>
  </si>
  <si>
    <t>ЗН: просрочены (плановая дата прошла)</t>
  </si>
  <si>
    <t>ЗН планируется закрыть на этой неделе</t>
  </si>
  <si>
    <t xml:space="preserve">  ФИНАНСЫ (из 1С)</t>
  </si>
  <si>
    <t>Закрыто ЗН за день (если есть)</t>
  </si>
  <si>
    <t>Выручка закрытых ЗН</t>
  </si>
  <si>
    <t>Поступления оплат</t>
  </si>
  <si>
    <t>🤖 Генерируется автоматически в 11:00 | Выработка из 1С (мастер вводит ежедневно) | Битрикс24</t>
  </si>
  <si>
    <t>ЕЖЕНЕДЕЛЬНЫЙ ОТЧЁТ — ШАРКЕР  |  Длинные ремонты</t>
  </si>
  <si>
    <t xml:space="preserve">  1.  ВЫРАБОТКА ЗА НЕДЕЛЮ  [из 1С]</t>
  </si>
  <si>
    <t>Нормочасы за неделю</t>
  </si>
  <si>
    <t>Ср. выработка мастера/день</t>
  </si>
  <si>
    <t xml:space="preserve">  2.  ПАЙПЛАЙН ЗН  [из 1С]</t>
  </si>
  <si>
    <t>vs пред. нед.</t>
  </si>
  <si>
    <t>Активных ЗН на конец недели</t>
  </si>
  <si>
    <t>Маржинальность закрытых ЗН (%)</t>
  </si>
  <si>
    <t>Ср. длительность ремонта (дней)</t>
  </si>
  <si>
    <t>ЗН просрочены (плановая дата)</t>
  </si>
  <si>
    <t>ЗН ожидают ЗЧ</t>
  </si>
  <si>
    <t>Поступления оплат за неделю</t>
  </si>
  <si>
    <t xml:space="preserve">  3.  ВЫРАБОТКА ПО ДНЯМ  [из 1С]</t>
  </si>
  <si>
    <t>Мастеров</t>
  </si>
  <si>
    <t>Нч/чел.</t>
  </si>
  <si>
    <t>Стоим. (руб.)</t>
  </si>
  <si>
    <t>Ответ / комментарий</t>
  </si>
  <si>
    <t>🤖 Данные 1С — авто | 🖊 Комментарии — руководитель до 11:00 пн | Битрикс24</t>
  </si>
  <si>
    <t>ЕЖЕДНЕВНЫЙ ОТЧЁТ — ЦКР  |  Данные из 1С</t>
  </si>
  <si>
    <t>ЕЖЕНЕДЕЛЬНЫЙ ОТЧЁТ — ЦКР  |  Длинные ремонты</t>
  </si>
  <si>
    <t>ЕЖЕДНЕВНЫЙ ОТЧЁТ — МОЙКА  |  Данные из 1С</t>
  </si>
  <si>
    <t>Машин обслужено</t>
  </si>
  <si>
    <t>Средний чек (руб./машина)</t>
  </si>
  <si>
    <t>ЕЖЕНЕДЕЛЬНЫЙ ОТЧЁТ — МОЙКА</t>
  </si>
  <si>
    <t xml:space="preserve">  1.  КЛЮЧЕВЫЕ ПОКАЗАТЕЛИ  [из 1С]</t>
  </si>
  <si>
    <t>Машин за неделю</t>
  </si>
  <si>
    <t xml:space="preserve">  2.  ДИНАМИКА ПО ДНЯМ  [из 1С]</t>
  </si>
  <si>
    <t>Машин</t>
  </si>
  <si>
    <t>Операторов</t>
  </si>
  <si>
    <t xml:space="preserve">  3.  КОММЕНТАРИЙ РУКОВОДИТЕЛЯ  [вручную]</t>
  </si>
  <si>
    <t>Что повлияло на трафик за неделю?</t>
  </si>
  <si>
    <t>Проблемы с оборудованием/химией</t>
  </si>
  <si>
    <t>Соответствие названий подразделений</t>
  </si>
  <si>
    <t>Отчет</t>
  </si>
  <si>
    <t>1с</t>
  </si>
  <si>
    <t>Арсенал</t>
  </si>
  <si>
    <t>ТО и ремонт</t>
  </si>
  <si>
    <t>Реф. Сервис</t>
  </si>
  <si>
    <t>Рефика Сервис</t>
  </si>
  <si>
    <t>Шаркер</t>
  </si>
  <si>
    <t>Шаркер Трейлер</t>
  </si>
  <si>
    <t>ЦКР</t>
  </si>
  <si>
    <t>Кузовной</t>
  </si>
  <si>
    <t>Для дневных отчетов:</t>
  </si>
  <si>
    <t>Показатель отчета</t>
  </si>
  <si>
    <t>1С</t>
  </si>
  <si>
    <t>Подразделение</t>
  </si>
  <si>
    <t>Нормочасы за день — общая выработка ПЛАН</t>
  </si>
  <si>
    <t>Нормочасы за день — общая выработка ФАКТ (1С)</t>
  </si>
  <si>
    <t>Выработка на 1 мастера (нч/чел.) ПЛАН</t>
  </si>
  <si>
    <t>Выработка на 1 мастера (нч/чел.) ФАКТ</t>
  </si>
  <si>
    <t>Закрыто ЗН за день ПЛАН</t>
  </si>
  <si>
    <t>Закрыто ЗН за день ФАКТ</t>
  </si>
  <si>
    <t>Документ "Установка значений плановых показателей (прибыли и убытки)" по подразделению  и с датой фиксации отчетным месяцем</t>
  </si>
  <si>
    <t xml:space="preserve">Из закрытых заказ-нарядов по подразделению </t>
  </si>
  <si>
    <t>Документ "Установка значений плановых показателей (прибыли и убытки)" по подразделению с датой фиксации отчетным месяцем</t>
  </si>
  <si>
    <t>Из закрытых заказ-нарядов по подразделению /количество исполнителей в этих заказ-нарядах</t>
  </si>
  <si>
    <t>Документ "Установка значений плановых показателей (прибыли и убытки)" по подразделению  с датой фиксации отчетным месяцем</t>
  </si>
  <si>
    <t>Количество закрытых заказ-нарядов в отчетный день по подразделению</t>
  </si>
  <si>
    <t>Выручка за день ПЛАН</t>
  </si>
  <si>
    <t>Выручка за день ФАКТ</t>
  </si>
  <si>
    <t>Себестоимость ЗЧ ПЛАН</t>
  </si>
  <si>
    <t>Себестоимость ЗЧ ФАКТ</t>
  </si>
  <si>
    <t>Наценка на ЗЧ ПЛАН</t>
  </si>
  <si>
    <t>Наценка на ЗЧ ФАКТ</t>
  </si>
  <si>
    <t>Из закрытых заказ-нарядов по подразделению за вычетом НДС</t>
  </si>
  <si>
    <t>Из закрытых заказ-нарядов по подразделению за вычетом НДС с выручки и себестоимости</t>
  </si>
  <si>
    <t>Арсенал, Рефика Сервис</t>
  </si>
  <si>
    <t>Шаркер, ЦКР</t>
  </si>
  <si>
    <t>Нормочасы за день (введено мастером) ПЛАН</t>
  </si>
  <si>
    <t>ЗН с плановой датой выдачи = дате отчета</t>
  </si>
  <si>
    <t>ЗН у которых плановая дата выдачи меньше текущей</t>
  </si>
  <si>
    <t>ЗН у которых плановая дата выдачи попадает в отчетную неделю</t>
  </si>
  <si>
    <t>Количество неврученных для оплаты страховых ЗН прошлых месяцев</t>
  </si>
  <si>
    <t>Сумма неврученных для оплаты страховых ЗН прошлых месяцев</t>
  </si>
  <si>
    <t>Закрыто ЗН за день (если есть) ПЛАН</t>
  </si>
  <si>
    <t>Закрыто ЗН за день (если есть) ФАКТ</t>
  </si>
  <si>
    <t>Выручка закрытых ЗН ПЛАН</t>
  </si>
  <si>
    <t>Поступления оплат ПЛАН</t>
  </si>
  <si>
    <t>Поступления оплат ФАКТ</t>
  </si>
  <si>
    <t>Сумма документов "строка банковской выписки" за текущий день по признакам: договор  в строке банковской выписки принадлежит отчетному подразделению, статья ДДС = Оплата от покупателя</t>
  </si>
  <si>
    <t>Количество неврученных для оплаты страховых ЗН прошлых месяцев ПЛАН</t>
  </si>
  <si>
    <t>Количество неврученных для оплаты страховых ЗН прошлых месяцев ФАКТ</t>
  </si>
  <si>
    <t>Сумма неврученных для оплаты страховых ЗН прошлых месяцев ПЛАН</t>
  </si>
  <si>
    <t>Количество закрытых в прошлых месяцах заказ-нарядов по подраздеделению с видами ремонтов "Страховой ремонт термофургонов" и "Кузовной страховой ремонт" у которых нет счет-фактуры, или в счет-фактуре не проставлена "Дата вручения КА"</t>
  </si>
  <si>
    <t>Сумма закрытых в прошлых месяцах заказ-нарядов по подраздеделению с видами ремонтов "Страховой ремонт термофургонов" и "Кузовной страховой ремонт" у которых нет счет-фактуры, или в счет-фактуре не проставлена "Дата вручения КА"</t>
  </si>
  <si>
    <t xml:space="preserve">  КЛЮЧЕВЫЕ ПОКАЗАТЕЛИ (из 1С) Мойка на ул. Строителей</t>
  </si>
  <si>
    <t xml:space="preserve">  КЛЮЧЕВЫЕ ПОКАЗАТЕЛИ (из 1С) Мойка на ул. Ульяновская</t>
  </si>
  <si>
    <t>Мойка на ул. Строителей</t>
  </si>
  <si>
    <t>Мойка на ул. Ульяновская</t>
  </si>
  <si>
    <t>Автомойка</t>
  </si>
  <si>
    <t>Мойка Ульяновская</t>
  </si>
  <si>
    <t>Мойка на улице Строителей, Мойка на улице Ульяновская</t>
  </si>
  <si>
    <t>Машин обслужено ПЛАН</t>
  </si>
  <si>
    <t>Машин обслужено ФАКТ</t>
  </si>
  <si>
    <t>Средний чек (руб./машина) ПЛАН</t>
  </si>
  <si>
    <t>Маржинальность ПЛАН</t>
  </si>
  <si>
    <t>количество закрытых зн в отченый день</t>
  </si>
  <si>
    <t>сумма закрытых зн в отченый день</t>
  </si>
  <si>
    <t>расчет</t>
  </si>
  <si>
    <t>Для еженедельных отчетов:</t>
  </si>
  <si>
    <t>Нормочасы за неделю (7 дней) ПЛАН</t>
  </si>
  <si>
    <t>Нормочасы за неделю (7 дней) ФАКТ</t>
  </si>
  <si>
    <t>Ср. выработка мастера в день План</t>
  </si>
  <si>
    <t>Ср. выработка мастера в день ФАКТ</t>
  </si>
  <si>
    <t>Закрыто ЗН за неделю ПЛАН</t>
  </si>
  <si>
    <t>Закрыто ЗН за неделю ФАКТ</t>
  </si>
  <si>
    <t>Количество закрытых заказ-нарядов в отчетную неделю по подразделению</t>
  </si>
  <si>
    <t>Выручка за неделю ПЛАН</t>
  </si>
  <si>
    <t>Выручка за неделю ФАКТ</t>
  </si>
  <si>
    <t>х</t>
  </si>
  <si>
    <t>Нормочасы за неделю (введено мастером) ПЛАН</t>
  </si>
  <si>
    <t>Нормочасы за неделю — общая выработка ФАКТ (1С)</t>
  </si>
  <si>
    <t>Закрыто ЗН за неделю (если есть) ПЛАН</t>
  </si>
  <si>
    <t>хх</t>
  </si>
  <si>
    <t>Выручка закрытых ЗН ФАКТ</t>
  </si>
  <si>
    <r>
      <t>Документ "Установка значений плановых показателей (прибыли и убытки)" по подразделению  и с датой фиксации отчетным месяцем.</t>
    </r>
    <r>
      <rPr>
        <sz val="11"/>
        <color rgb="FFFF0000"/>
        <rFont val="Calibri"/>
        <family val="2"/>
        <charset val="204"/>
      </rPr>
      <t xml:space="preserve"> ЭТО НЕ ОШИБКА, в 1с нет данных, поэтому документ плана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rgb="FFFF0000"/>
        <rFont val="Calibri"/>
        <family val="2"/>
        <charset val="204"/>
      </rPr>
      <t>Очень длинные ремонты - закрываются в конце месяца, нет регистратора, что выполнено в конкретный день</t>
    </r>
  </si>
  <si>
    <r>
      <t xml:space="preserve">Документ "Установка значений плановых показателей (прибыли и убытки)" по подразделению с датой фиксации отчетным месяцем. </t>
    </r>
    <r>
      <rPr>
        <sz val="11"/>
        <color rgb="FFFF0000"/>
        <rFont val="Calibri"/>
        <family val="2"/>
        <charset val="204"/>
      </rPr>
      <t>ЭТО НЕ ОШИБКА, в 1с нет данных, поэтому документ плана. Очень длинные ремонты - закрываются в конце месяца, нет регистратора, что выполнено в конкретный день</t>
    </r>
  </si>
  <si>
    <t>Заявка</t>
  </si>
  <si>
    <t xml:space="preserve">Ожидание заезда ТС на дефектовку </t>
  </si>
  <si>
    <t xml:space="preserve">Дефектовка в процессе </t>
  </si>
  <si>
    <t xml:space="preserve">Проценка </t>
  </si>
  <si>
    <t xml:space="preserve">Подготовка ПЗН </t>
  </si>
  <si>
    <t>Согласование</t>
  </si>
  <si>
    <t>Поставка  запасных частей</t>
  </si>
  <si>
    <t>Ожидание начало ремонта</t>
  </si>
  <si>
    <t>Ожидание автозапчастей клиента</t>
  </si>
  <si>
    <t>Ожидание заезда на ремонт</t>
  </si>
  <si>
    <t>Ожидание деталей</t>
  </si>
  <si>
    <t>В работе</t>
  </si>
  <si>
    <t>Работы приостановлены</t>
  </si>
  <si>
    <t>Работы завершены</t>
  </si>
  <si>
    <t>Выполнен</t>
  </si>
  <si>
    <t>Закрыт</t>
  </si>
  <si>
    <t>Отказ</t>
  </si>
  <si>
    <t>Состояния зн в 1с, точные названия</t>
  </si>
  <si>
    <t>количество зн с датой зн больше текущей больше чем на 1 не в состоянии "закрыт"</t>
  </si>
  <si>
    <t>количество зн не в состоянии "закрыт", по которым нет истории изменения</t>
  </si>
  <si>
    <t>ЗН  не в состоянии "закрыт" и "заявка"</t>
  </si>
  <si>
    <t>ЗН в состоянии "ожидание запасных частей"</t>
  </si>
  <si>
    <t>Считается по закрытым нарядам за отчетную неделю как разница между датами заказ-наряда "начат" и "закрыт"</t>
  </si>
  <si>
    <t>Фактические нормочасы хранятся в табоичной части щаказ-наряда по столбцу "норма времени"</t>
  </si>
  <si>
    <t>Пересчет месячного плана в день/неделю производить делением месячного плана на количество дней в месяце</t>
  </si>
  <si>
    <t>Выручка без НДС берется в регистре "Доходы и расходы" по статьям "Выручка по заказ-нарядам" и "Работы по заказ-нарядам"</t>
  </si>
  <si>
    <t>Себестоимость без НДС берется "Доходы и расходы" по статье "Себестоимость материалов"</t>
  </si>
  <si>
    <t>Документ "Установка значений плановых показателей (прибыли и убытки)" по подразделению  с датой фиксации отчетным месяцем: вуручка разделить на средний чек</t>
  </si>
  <si>
    <r>
      <rPr>
        <sz val="11"/>
        <rFont val="Calibri"/>
        <family val="2"/>
        <charset val="204"/>
      </rPr>
      <t xml:space="preserve">Документ "Установка значений плановых показателей (прибыли и убытки)" по подразделению  и с датой фиксации отчетным днем. </t>
    </r>
    <r>
      <rPr>
        <sz val="11"/>
        <color rgb="FFFF0000"/>
        <rFont val="Calibri"/>
        <family val="2"/>
        <charset val="204"/>
      </rPr>
      <t xml:space="preserve">ЭТО НЕ ОШИБКА, в 1с нет данных, поэтому документ плана. Очень длинные ремонты - закрываются в конце месяца, нет регистратора, что </t>
    </r>
  </si>
  <si>
    <r>
      <t xml:space="preserve">Документ "Установка значений плановых показателей (прибыли и убытки)" по подразделению с датой фиксации отчетным днем. </t>
    </r>
    <r>
      <rPr>
        <sz val="11"/>
        <color rgb="FFFF0000"/>
        <rFont val="Calibri"/>
        <family val="2"/>
        <charset val="204"/>
      </rPr>
      <t>ЭТО НЕ ОШИБКА, в 1с нет данных, поэтому документ плана. Очень длинные ремонты - закрываются в конце месяца, нет регистратора, что выполнено в конкретный день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</si>
</sst>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1F3864"/>
      <name val="Arial"/>
      <family val="2"/>
    </font>
    <font>
      <b/>
      <sz val="10"/>
      <color rgb="FF333333"/>
      <name val="Arial"/>
      <family val="2"/>
    </font>
    <font>
      <sz val="10"/>
      <name val="Arial"/>
      <family val="2"/>
    </font>
    <font>
      <b/>
      <sz val="10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333333"/>
      <name val="Arial"/>
      <family val="2"/>
    </font>
    <font>
      <i/>
      <sz val="9"/>
      <color rgb="FF888888"/>
      <name val="Arial"/>
      <family val="2"/>
    </font>
    <font>
      <b/>
      <sz val="10"/>
      <name val="Arial"/>
      <family val="2"/>
    </font>
    <font>
      <i/>
      <sz val="10"/>
      <color rgb="FF888888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name val="Calibri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EFF"/>
        <bgColor rgb="FFEBF3FB"/>
      </patternFill>
    </fill>
    <fill>
      <patternFill patternType="solid">
        <fgColor rgb="FFEBF3FB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C9A400"/>
        <bgColor rgb="FF99CC00"/>
      </patternFill>
    </fill>
    <fill>
      <patternFill patternType="solid">
        <fgColor rgb="FF0070C0"/>
        <bgColor rgb="FF008080"/>
      </patternFill>
    </fill>
    <fill>
      <patternFill patternType="solid">
        <fgColor rgb="FF375623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7" fillId="9" borderId="2" xfId="0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4" fillId="4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 wrapText="1" indent="1"/>
    </xf>
    <xf numFmtId="9" fontId="4" fillId="8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3" fontId="4" fillId="8" borderId="2" xfId="0" applyNumberFormat="1" applyFont="1" applyFill="1" applyBorder="1" applyAlignment="1">
      <alignment horizontal="center" vertical="center"/>
    </xf>
    <xf numFmtId="164" fontId="4" fillId="8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 wrapText="1" indent="1"/>
    </xf>
    <xf numFmtId="3" fontId="9" fillId="5" borderId="2" xfId="0" applyNumberFormat="1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 wrapText="1"/>
    </xf>
    <xf numFmtId="0" fontId="7" fillId="10" borderId="2" xfId="0" applyFont="1" applyFill="1" applyBorder="1" applyAlignment="1">
      <alignment horizontal="left" vertical="center" wrapText="1" indent="1"/>
    </xf>
    <xf numFmtId="165" fontId="4" fillId="8" borderId="2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 indent="1"/>
    </xf>
    <xf numFmtId="0" fontId="11" fillId="0" borderId="0" xfId="0" applyFont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0" xfId="0" applyBorder="1"/>
    <xf numFmtId="0" fontId="7" fillId="7" borderId="4" xfId="0" applyFont="1" applyFill="1" applyBorder="1" applyAlignment="1">
      <alignment horizontal="left" vertical="center" wrapText="1" indent="1"/>
    </xf>
    <xf numFmtId="0" fontId="11" fillId="16" borderId="0" xfId="0" applyFont="1" applyFill="1" applyBorder="1"/>
    <xf numFmtId="0" fontId="11" fillId="17" borderId="0" xfId="0" applyFont="1" applyFill="1" applyBorder="1"/>
    <xf numFmtId="0" fontId="11" fillId="0" borderId="4" xfId="0" applyFont="1" applyBorder="1"/>
    <xf numFmtId="0" fontId="0" fillId="0" borderId="4" xfId="0" applyBorder="1" applyAlignment="1">
      <alignment horizontal="center" wrapText="1"/>
    </xf>
    <xf numFmtId="0" fontId="12" fillId="0" borderId="4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 indent="1"/>
    </xf>
    <xf numFmtId="0" fontId="6" fillId="6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10" fillId="10" borderId="2" xfId="0" applyFont="1" applyFill="1" applyBorder="1" applyAlignment="1">
      <alignment horizontal="left" vertical="center" wrapText="1" indent="1"/>
    </xf>
    <xf numFmtId="0" fontId="5" fillId="10" borderId="3" xfId="0" applyFont="1" applyFill="1" applyBorder="1" applyAlignment="1">
      <alignment horizontal="left" vertical="center" indent="1"/>
    </xf>
    <xf numFmtId="0" fontId="6" fillId="11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 indent="1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6" fillId="0" borderId="5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0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030A0"/>
      <rgbColor rgb="FFFFF2CC"/>
      <rgbColor rgb="FFDDEE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2F2F2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C9A400"/>
      <rgbColor rgb="FFC55A11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CA833-5914-437A-A618-E5C2EEE09C8E}">
  <dimension ref="A1:J108"/>
  <sheetViews>
    <sheetView tabSelected="1" workbookViewId="0">
      <selection activeCell="C81" sqref="C81:I81"/>
    </sheetView>
  </sheetViews>
  <sheetFormatPr defaultRowHeight="15" x14ac:dyDescent="0.25"/>
  <cols>
    <col min="1" max="1" width="23.7109375" customWidth="1"/>
    <col min="2" max="2" width="37.140625" customWidth="1"/>
    <col min="3" max="3" width="24.85546875" customWidth="1"/>
  </cols>
  <sheetData>
    <row r="1" spans="2:3" x14ac:dyDescent="0.25">
      <c r="B1" s="16" t="s">
        <v>116</v>
      </c>
    </row>
    <row r="2" spans="2:3" x14ac:dyDescent="0.25">
      <c r="B2" s="17" t="s">
        <v>117</v>
      </c>
      <c r="C2" s="17" t="s">
        <v>118</v>
      </c>
    </row>
    <row r="3" spans="2:3" x14ac:dyDescent="0.25">
      <c r="B3" s="17" t="s">
        <v>119</v>
      </c>
      <c r="C3" s="17" t="s">
        <v>120</v>
      </c>
    </row>
    <row r="4" spans="2:3" x14ac:dyDescent="0.25">
      <c r="B4" s="17" t="s">
        <v>121</v>
      </c>
      <c r="C4" s="17" t="s">
        <v>122</v>
      </c>
    </row>
    <row r="5" spans="2:3" x14ac:dyDescent="0.25">
      <c r="B5" s="17" t="s">
        <v>123</v>
      </c>
      <c r="C5" s="17" t="s">
        <v>124</v>
      </c>
    </row>
    <row r="6" spans="2:3" x14ac:dyDescent="0.25">
      <c r="B6" s="17" t="s">
        <v>125</v>
      </c>
      <c r="C6" s="17" t="s">
        <v>126</v>
      </c>
    </row>
    <row r="7" spans="2:3" x14ac:dyDescent="0.25">
      <c r="B7" s="17" t="s">
        <v>172</v>
      </c>
      <c r="C7" s="17" t="s">
        <v>174</v>
      </c>
    </row>
    <row r="8" spans="2:3" ht="16.5" customHeight="1" x14ac:dyDescent="0.25">
      <c r="B8" s="17" t="s">
        <v>173</v>
      </c>
      <c r="C8" s="17" t="s">
        <v>175</v>
      </c>
    </row>
    <row r="9" spans="2:3" ht="16.5" customHeight="1" x14ac:dyDescent="0.25">
      <c r="B9" s="23" t="s">
        <v>219</v>
      </c>
      <c r="C9" s="17"/>
    </row>
    <row r="10" spans="2:3" x14ac:dyDescent="0.25">
      <c r="B10" s="17" t="s">
        <v>202</v>
      </c>
    </row>
    <row r="11" spans="2:3" x14ac:dyDescent="0.25">
      <c r="B11" s="17" t="s">
        <v>203</v>
      </c>
    </row>
    <row r="12" spans="2:3" x14ac:dyDescent="0.25">
      <c r="B12" s="17" t="s">
        <v>204</v>
      </c>
    </row>
    <row r="13" spans="2:3" x14ac:dyDescent="0.25">
      <c r="B13" s="17" t="s">
        <v>205</v>
      </c>
    </row>
    <row r="14" spans="2:3" x14ac:dyDescent="0.25">
      <c r="B14" s="17" t="s">
        <v>206</v>
      </c>
    </row>
    <row r="15" spans="2:3" x14ac:dyDescent="0.25">
      <c r="B15" s="17" t="s">
        <v>207</v>
      </c>
    </row>
    <row r="16" spans="2:3" ht="16.5" customHeight="1" x14ac:dyDescent="0.25">
      <c r="B16" s="17" t="s">
        <v>208</v>
      </c>
    </row>
    <row r="17" spans="2:2" x14ac:dyDescent="0.25">
      <c r="B17" s="17" t="s">
        <v>209</v>
      </c>
    </row>
    <row r="18" spans="2:2" x14ac:dyDescent="0.25">
      <c r="B18" s="17" t="s">
        <v>210</v>
      </c>
    </row>
    <row r="19" spans="2:2" x14ac:dyDescent="0.25">
      <c r="B19" s="17" t="s">
        <v>211</v>
      </c>
    </row>
    <row r="20" spans="2:2" ht="16.5" customHeight="1" x14ac:dyDescent="0.25">
      <c r="B20" s="17" t="s">
        <v>212</v>
      </c>
    </row>
    <row r="21" spans="2:2" x14ac:dyDescent="0.25">
      <c r="B21" s="17" t="s">
        <v>213</v>
      </c>
    </row>
    <row r="22" spans="2:2" x14ac:dyDescent="0.25">
      <c r="B22" s="17" t="s">
        <v>214</v>
      </c>
    </row>
    <row r="23" spans="2:2" x14ac:dyDescent="0.25">
      <c r="B23" s="17" t="s">
        <v>215</v>
      </c>
    </row>
    <row r="24" spans="2:2" ht="16.5" customHeight="1" x14ac:dyDescent="0.25">
      <c r="B24" s="17" t="s">
        <v>216</v>
      </c>
    </row>
    <row r="25" spans="2:2" ht="16.5" customHeight="1" x14ac:dyDescent="0.25">
      <c r="B25" s="17" t="s">
        <v>217</v>
      </c>
    </row>
    <row r="26" spans="2:2" x14ac:dyDescent="0.25">
      <c r="B26" s="17" t="s">
        <v>218</v>
      </c>
    </row>
    <row r="27" spans="2:2" ht="16.5" customHeight="1" x14ac:dyDescent="0.25">
      <c r="B27" s="19"/>
    </row>
    <row r="28" spans="2:2" ht="16.5" customHeight="1" x14ac:dyDescent="0.25">
      <c r="B28" s="47" t="s">
        <v>225</v>
      </c>
    </row>
    <row r="29" spans="2:2" ht="16.5" customHeight="1" x14ac:dyDescent="0.25">
      <c r="B29" s="47" t="s">
        <v>226</v>
      </c>
    </row>
    <row r="30" spans="2:2" ht="16.5" customHeight="1" x14ac:dyDescent="0.25">
      <c r="B30" s="47" t="s">
        <v>227</v>
      </c>
    </row>
    <row r="31" spans="2:2" ht="16.5" customHeight="1" x14ac:dyDescent="0.25">
      <c r="B31" s="47" t="s">
        <v>228</v>
      </c>
    </row>
    <row r="32" spans="2:2" ht="16.5" customHeight="1" x14ac:dyDescent="0.25">
      <c r="B32" s="19"/>
    </row>
    <row r="33" spans="1:10" x14ac:dyDescent="0.25">
      <c r="A33" s="21" t="s">
        <v>127</v>
      </c>
      <c r="B33" s="19"/>
      <c r="C33" s="19"/>
      <c r="D33" s="19"/>
      <c r="E33" s="19"/>
      <c r="F33" s="19"/>
      <c r="G33" s="19"/>
      <c r="H33" s="19"/>
      <c r="I33" s="19"/>
    </row>
    <row r="34" spans="1:10" x14ac:dyDescent="0.25">
      <c r="A34" s="18" t="s">
        <v>130</v>
      </c>
      <c r="B34" s="18" t="s">
        <v>128</v>
      </c>
      <c r="C34" s="24" t="s">
        <v>129</v>
      </c>
      <c r="D34" s="24"/>
      <c r="E34" s="24"/>
      <c r="F34" s="24"/>
      <c r="G34" s="24"/>
      <c r="H34" s="24"/>
      <c r="I34" s="24"/>
    </row>
    <row r="35" spans="1:10" ht="30" x14ac:dyDescent="0.25">
      <c r="A35" s="18" t="s">
        <v>151</v>
      </c>
      <c r="B35" s="18" t="s">
        <v>131</v>
      </c>
      <c r="C35" s="24" t="s">
        <v>137</v>
      </c>
      <c r="D35" s="24"/>
      <c r="E35" s="24"/>
      <c r="F35" s="24"/>
      <c r="G35" s="24"/>
      <c r="H35" s="24"/>
      <c r="I35" s="24"/>
      <c r="J35" t="s">
        <v>194</v>
      </c>
    </row>
    <row r="36" spans="1:10" ht="30" x14ac:dyDescent="0.25">
      <c r="A36" s="18" t="s">
        <v>151</v>
      </c>
      <c r="B36" s="18" t="s">
        <v>132</v>
      </c>
      <c r="C36" s="24" t="s">
        <v>138</v>
      </c>
      <c r="D36" s="24"/>
      <c r="E36" s="24"/>
      <c r="F36" s="24"/>
      <c r="G36" s="24"/>
      <c r="H36" s="24"/>
      <c r="I36" s="24"/>
    </row>
    <row r="37" spans="1:10" ht="36" customHeight="1" x14ac:dyDescent="0.25">
      <c r="A37" s="18" t="s">
        <v>151</v>
      </c>
      <c r="B37" s="18" t="s">
        <v>133</v>
      </c>
      <c r="C37" s="24" t="s">
        <v>139</v>
      </c>
      <c r="D37" s="24"/>
      <c r="E37" s="24"/>
      <c r="F37" s="24"/>
      <c r="G37" s="24"/>
      <c r="H37" s="24"/>
      <c r="I37" s="24"/>
      <c r="J37" t="s">
        <v>194</v>
      </c>
    </row>
    <row r="38" spans="1:10" ht="30" customHeight="1" x14ac:dyDescent="0.25">
      <c r="A38" s="18" t="s">
        <v>151</v>
      </c>
      <c r="B38" s="18" t="s">
        <v>134</v>
      </c>
      <c r="C38" s="24" t="s">
        <v>140</v>
      </c>
      <c r="D38" s="24"/>
      <c r="E38" s="24"/>
      <c r="F38" s="24"/>
      <c r="G38" s="24"/>
      <c r="H38" s="24"/>
      <c r="I38" s="24"/>
    </row>
    <row r="39" spans="1:10" ht="59.25" customHeight="1" x14ac:dyDescent="0.25">
      <c r="A39" s="18" t="s">
        <v>151</v>
      </c>
      <c r="B39" s="18" t="s">
        <v>135</v>
      </c>
      <c r="C39" s="24" t="s">
        <v>229</v>
      </c>
      <c r="D39" s="24"/>
      <c r="E39" s="24"/>
      <c r="F39" s="24"/>
      <c r="G39" s="24"/>
      <c r="H39" s="24"/>
      <c r="I39" s="24"/>
      <c r="J39" t="s">
        <v>194</v>
      </c>
    </row>
    <row r="40" spans="1:10" ht="31.5" customHeight="1" x14ac:dyDescent="0.25">
      <c r="A40" s="18" t="s">
        <v>151</v>
      </c>
      <c r="B40" s="18" t="s">
        <v>136</v>
      </c>
      <c r="C40" s="24" t="s">
        <v>142</v>
      </c>
      <c r="D40" s="24"/>
      <c r="E40" s="24"/>
      <c r="F40" s="24"/>
      <c r="G40" s="24"/>
      <c r="H40" s="24"/>
      <c r="I40" s="24"/>
    </row>
    <row r="41" spans="1:10" x14ac:dyDescent="0.25">
      <c r="A41" s="18" t="s">
        <v>151</v>
      </c>
      <c r="B41" s="18" t="s">
        <v>143</v>
      </c>
      <c r="C41" s="24" t="s">
        <v>137</v>
      </c>
      <c r="D41" s="24"/>
      <c r="E41" s="24"/>
      <c r="F41" s="24"/>
      <c r="G41" s="24"/>
      <c r="H41" s="24"/>
      <c r="I41" s="24"/>
      <c r="J41" t="s">
        <v>194</v>
      </c>
    </row>
    <row r="42" spans="1:10" x14ac:dyDescent="0.25">
      <c r="A42" s="18" t="s">
        <v>151</v>
      </c>
      <c r="B42" s="18" t="s">
        <v>144</v>
      </c>
      <c r="C42" s="24" t="s">
        <v>149</v>
      </c>
      <c r="D42" s="24"/>
      <c r="E42" s="24"/>
      <c r="F42" s="24"/>
      <c r="G42" s="24"/>
      <c r="H42" s="24"/>
      <c r="I42" s="24"/>
    </row>
    <row r="43" spans="1:10" x14ac:dyDescent="0.25">
      <c r="A43" s="18" t="s">
        <v>151</v>
      </c>
      <c r="B43" s="18" t="s">
        <v>145</v>
      </c>
      <c r="C43" s="24" t="s">
        <v>137</v>
      </c>
      <c r="D43" s="24"/>
      <c r="E43" s="24"/>
      <c r="F43" s="24"/>
      <c r="G43" s="24"/>
      <c r="H43" s="24"/>
      <c r="I43" s="24"/>
      <c r="J43" t="s">
        <v>194</v>
      </c>
    </row>
    <row r="44" spans="1:10" x14ac:dyDescent="0.25">
      <c r="A44" s="18" t="s">
        <v>151</v>
      </c>
      <c r="B44" s="18" t="s">
        <v>146</v>
      </c>
      <c r="C44" s="24" t="s">
        <v>149</v>
      </c>
      <c r="D44" s="24"/>
      <c r="E44" s="24"/>
      <c r="F44" s="24"/>
      <c r="G44" s="24"/>
      <c r="H44" s="24"/>
      <c r="I44" s="24"/>
    </row>
    <row r="45" spans="1:10" x14ac:dyDescent="0.25">
      <c r="A45" s="18" t="s">
        <v>151</v>
      </c>
      <c r="B45" s="18" t="s">
        <v>147</v>
      </c>
      <c r="C45" s="24" t="s">
        <v>137</v>
      </c>
      <c r="D45" s="24"/>
      <c r="E45" s="24"/>
      <c r="F45" s="24"/>
      <c r="G45" s="24"/>
      <c r="H45" s="24"/>
      <c r="I45" s="24"/>
      <c r="J45" t="s">
        <v>194</v>
      </c>
    </row>
    <row r="46" spans="1:10" ht="27" customHeight="1" x14ac:dyDescent="0.25">
      <c r="A46" s="18" t="s">
        <v>151</v>
      </c>
      <c r="B46" s="18" t="s">
        <v>148</v>
      </c>
      <c r="C46" s="24" t="s">
        <v>150</v>
      </c>
      <c r="D46" s="24"/>
      <c r="E46" s="24"/>
      <c r="F46" s="24"/>
      <c r="G46" s="24"/>
      <c r="H46" s="24"/>
      <c r="I46" s="24"/>
    </row>
    <row r="47" spans="1:10" x14ac:dyDescent="0.25">
      <c r="A47" s="18" t="s">
        <v>151</v>
      </c>
      <c r="B47" s="18" t="s">
        <v>27</v>
      </c>
      <c r="C47" s="24" t="s">
        <v>220</v>
      </c>
      <c r="D47" s="24"/>
      <c r="E47" s="24"/>
      <c r="F47" s="24"/>
      <c r="G47" s="24"/>
      <c r="H47" s="24"/>
      <c r="I47" s="24"/>
    </row>
    <row r="48" spans="1:10" ht="15" customHeight="1" x14ac:dyDescent="0.25">
      <c r="A48" s="18" t="s">
        <v>151</v>
      </c>
      <c r="B48" s="18" t="s">
        <v>29</v>
      </c>
      <c r="C48" s="24" t="s">
        <v>221</v>
      </c>
      <c r="D48" s="24"/>
      <c r="E48" s="24"/>
      <c r="F48" s="24"/>
      <c r="G48" s="24"/>
      <c r="H48" s="24"/>
      <c r="I48" s="24"/>
    </row>
    <row r="49" spans="1:10" x14ac:dyDescent="0.25">
      <c r="A49" s="21" t="s">
        <v>127</v>
      </c>
      <c r="B49" s="19"/>
      <c r="C49" s="26"/>
      <c r="D49" s="26"/>
      <c r="E49" s="26"/>
      <c r="F49" s="26"/>
      <c r="G49" s="26"/>
      <c r="H49" s="26"/>
      <c r="I49" s="26"/>
    </row>
    <row r="50" spans="1:10" x14ac:dyDescent="0.25">
      <c r="A50" s="18" t="s">
        <v>130</v>
      </c>
      <c r="B50" s="18" t="s">
        <v>128</v>
      </c>
      <c r="C50" s="24" t="s">
        <v>129</v>
      </c>
      <c r="D50" s="24"/>
      <c r="E50" s="24"/>
      <c r="F50" s="24"/>
      <c r="G50" s="24"/>
      <c r="H50" s="24"/>
      <c r="I50" s="24"/>
    </row>
    <row r="51" spans="1:10" ht="30" x14ac:dyDescent="0.25">
      <c r="A51" s="18" t="s">
        <v>152</v>
      </c>
      <c r="B51" s="18" t="s">
        <v>153</v>
      </c>
      <c r="C51" s="24" t="s">
        <v>137</v>
      </c>
      <c r="D51" s="24"/>
      <c r="E51" s="24"/>
      <c r="F51" s="24"/>
      <c r="G51" s="24"/>
      <c r="H51" s="24"/>
      <c r="I51" s="24"/>
      <c r="J51" t="s">
        <v>194</v>
      </c>
    </row>
    <row r="52" spans="1:10" ht="64.5" customHeight="1" x14ac:dyDescent="0.25">
      <c r="A52" s="18" t="s">
        <v>152</v>
      </c>
      <c r="B52" s="18" t="s">
        <v>132</v>
      </c>
      <c r="C52" s="25" t="s">
        <v>230</v>
      </c>
      <c r="D52" s="24"/>
      <c r="E52" s="24"/>
      <c r="F52" s="24"/>
      <c r="G52" s="24"/>
      <c r="H52" s="24"/>
      <c r="I52" s="24"/>
      <c r="J52" t="s">
        <v>198</v>
      </c>
    </row>
    <row r="53" spans="1:10" ht="44.25" customHeight="1" x14ac:dyDescent="0.25">
      <c r="A53" s="18" t="s">
        <v>152</v>
      </c>
      <c r="B53" s="18" t="s">
        <v>133</v>
      </c>
      <c r="C53" s="24" t="s">
        <v>139</v>
      </c>
      <c r="D53" s="24"/>
      <c r="E53" s="24"/>
      <c r="F53" s="24"/>
      <c r="G53" s="24"/>
      <c r="H53" s="24"/>
      <c r="I53" s="24"/>
      <c r="J53" t="s">
        <v>194</v>
      </c>
    </row>
    <row r="54" spans="1:10" ht="88.5" customHeight="1" x14ac:dyDescent="0.25">
      <c r="A54" s="18" t="s">
        <v>152</v>
      </c>
      <c r="B54" s="18" t="s">
        <v>134</v>
      </c>
      <c r="C54" s="24" t="s">
        <v>231</v>
      </c>
      <c r="D54" s="24"/>
      <c r="E54" s="24"/>
      <c r="F54" s="24"/>
      <c r="G54" s="24"/>
      <c r="H54" s="24"/>
      <c r="I54" s="24"/>
      <c r="J54" t="s">
        <v>198</v>
      </c>
    </row>
    <row r="55" spans="1:10" x14ac:dyDescent="0.25">
      <c r="A55" s="18" t="s">
        <v>152</v>
      </c>
      <c r="B55" s="20" t="s">
        <v>74</v>
      </c>
      <c r="C55" s="24" t="s">
        <v>222</v>
      </c>
      <c r="D55" s="24"/>
      <c r="E55" s="24"/>
      <c r="F55" s="24"/>
      <c r="G55" s="24"/>
      <c r="H55" s="24"/>
      <c r="I55" s="24"/>
    </row>
    <row r="56" spans="1:10" x14ac:dyDescent="0.25">
      <c r="A56" s="18" t="s">
        <v>152</v>
      </c>
      <c r="B56" s="20" t="s">
        <v>75</v>
      </c>
      <c r="C56" s="24" t="s">
        <v>154</v>
      </c>
      <c r="D56" s="24"/>
      <c r="E56" s="24"/>
      <c r="F56" s="24"/>
      <c r="G56" s="24"/>
      <c r="H56" s="24"/>
      <c r="I56" s="24"/>
    </row>
    <row r="57" spans="1:10" x14ac:dyDescent="0.25">
      <c r="A57" s="18" t="s">
        <v>152</v>
      </c>
      <c r="B57" s="20" t="s">
        <v>76</v>
      </c>
      <c r="C57" s="24" t="s">
        <v>223</v>
      </c>
      <c r="D57" s="24"/>
      <c r="E57" s="24"/>
      <c r="F57" s="24"/>
      <c r="G57" s="24"/>
      <c r="H57" s="24"/>
      <c r="I57" s="24"/>
    </row>
    <row r="58" spans="1:10" ht="25.5" x14ac:dyDescent="0.25">
      <c r="A58" s="18" t="s">
        <v>152</v>
      </c>
      <c r="B58" s="20" t="s">
        <v>77</v>
      </c>
      <c r="C58" s="24" t="s">
        <v>155</v>
      </c>
      <c r="D58" s="24"/>
      <c r="E58" s="24"/>
      <c r="F58" s="24"/>
      <c r="G58" s="24"/>
      <c r="H58" s="24"/>
      <c r="I58" s="24"/>
    </row>
    <row r="59" spans="1:10" ht="25.5" customHeight="1" x14ac:dyDescent="0.25">
      <c r="A59" s="18" t="s">
        <v>152</v>
      </c>
      <c r="B59" s="20" t="s">
        <v>78</v>
      </c>
      <c r="C59" s="24" t="s">
        <v>156</v>
      </c>
      <c r="D59" s="24"/>
      <c r="E59" s="24"/>
      <c r="F59" s="24"/>
      <c r="G59" s="24"/>
      <c r="H59" s="24"/>
      <c r="I59" s="24"/>
    </row>
    <row r="60" spans="1:10" ht="33" customHeight="1" x14ac:dyDescent="0.25">
      <c r="A60" s="18" t="s">
        <v>152</v>
      </c>
      <c r="B60" s="20" t="s">
        <v>159</v>
      </c>
      <c r="C60" s="24" t="s">
        <v>139</v>
      </c>
      <c r="D60" s="24"/>
      <c r="E60" s="24"/>
      <c r="F60" s="24"/>
      <c r="G60" s="24"/>
      <c r="H60" s="24"/>
      <c r="I60" s="24"/>
      <c r="J60" t="s">
        <v>194</v>
      </c>
    </row>
    <row r="61" spans="1:10" x14ac:dyDescent="0.25">
      <c r="A61" s="18" t="s">
        <v>152</v>
      </c>
      <c r="B61" s="20" t="s">
        <v>160</v>
      </c>
      <c r="C61" s="24" t="s">
        <v>142</v>
      </c>
      <c r="D61" s="24"/>
      <c r="E61" s="24"/>
      <c r="F61" s="24"/>
      <c r="G61" s="24"/>
      <c r="H61" s="24"/>
      <c r="I61" s="24"/>
    </row>
    <row r="62" spans="1:10" ht="15" customHeight="1" x14ac:dyDescent="0.25">
      <c r="A62" s="18" t="s">
        <v>152</v>
      </c>
      <c r="B62" s="20" t="s">
        <v>161</v>
      </c>
      <c r="C62" s="24" t="s">
        <v>137</v>
      </c>
      <c r="D62" s="24"/>
      <c r="E62" s="24"/>
      <c r="F62" s="24"/>
      <c r="G62" s="24"/>
      <c r="H62" s="24"/>
      <c r="I62" s="24"/>
      <c r="J62" t="s">
        <v>194</v>
      </c>
    </row>
    <row r="63" spans="1:10" x14ac:dyDescent="0.25">
      <c r="A63" s="18" t="s">
        <v>152</v>
      </c>
      <c r="B63" s="20" t="s">
        <v>199</v>
      </c>
      <c r="C63" s="24" t="s">
        <v>149</v>
      </c>
      <c r="D63" s="24"/>
      <c r="E63" s="24"/>
      <c r="F63" s="24"/>
      <c r="G63" s="24"/>
      <c r="H63" s="24"/>
      <c r="I63" s="24"/>
    </row>
    <row r="64" spans="1:10" ht="15" customHeight="1" x14ac:dyDescent="0.25">
      <c r="A64" s="18" t="s">
        <v>152</v>
      </c>
      <c r="B64" s="20" t="s">
        <v>162</v>
      </c>
      <c r="C64" s="24" t="s">
        <v>137</v>
      </c>
      <c r="D64" s="24"/>
      <c r="E64" s="24"/>
      <c r="F64" s="24"/>
      <c r="G64" s="24"/>
      <c r="H64" s="24"/>
      <c r="I64" s="24"/>
    </row>
    <row r="65" spans="1:10" ht="57" customHeight="1" x14ac:dyDescent="0.25">
      <c r="A65" s="18" t="s">
        <v>152</v>
      </c>
      <c r="B65" s="20" t="s">
        <v>163</v>
      </c>
      <c r="C65" s="24" t="s">
        <v>164</v>
      </c>
      <c r="D65" s="24"/>
      <c r="E65" s="24"/>
      <c r="F65" s="24"/>
      <c r="G65" s="24"/>
      <c r="H65" s="24"/>
      <c r="I65" s="24"/>
    </row>
    <row r="66" spans="1:10" ht="38.25" customHeight="1" x14ac:dyDescent="0.25">
      <c r="A66" s="18" t="s">
        <v>152</v>
      </c>
      <c r="B66" s="20" t="s">
        <v>165</v>
      </c>
      <c r="C66" s="24">
        <v>0</v>
      </c>
      <c r="D66" s="24"/>
      <c r="E66" s="24"/>
      <c r="F66" s="24"/>
      <c r="G66" s="24"/>
      <c r="H66" s="24"/>
      <c r="I66" s="24"/>
    </row>
    <row r="67" spans="1:10" ht="79.5" customHeight="1" x14ac:dyDescent="0.25">
      <c r="A67" s="18" t="s">
        <v>152</v>
      </c>
      <c r="B67" s="20" t="s">
        <v>166</v>
      </c>
      <c r="C67" s="24" t="s">
        <v>168</v>
      </c>
      <c r="D67" s="24"/>
      <c r="E67" s="24"/>
      <c r="F67" s="24"/>
      <c r="G67" s="24"/>
      <c r="H67" s="24"/>
      <c r="I67" s="24"/>
    </row>
    <row r="68" spans="1:10" ht="25.5" customHeight="1" x14ac:dyDescent="0.25">
      <c r="A68" s="18" t="s">
        <v>152</v>
      </c>
      <c r="B68" s="20" t="s">
        <v>167</v>
      </c>
      <c r="C68" s="24">
        <v>0</v>
      </c>
      <c r="D68" s="24"/>
      <c r="E68" s="24"/>
      <c r="F68" s="24"/>
      <c r="G68" s="24"/>
      <c r="H68" s="24"/>
      <c r="I68" s="24"/>
    </row>
    <row r="69" spans="1:10" ht="57" customHeight="1" x14ac:dyDescent="0.25">
      <c r="A69" s="18" t="s">
        <v>152</v>
      </c>
      <c r="B69" s="20" t="s">
        <v>167</v>
      </c>
      <c r="C69" s="24" t="s">
        <v>169</v>
      </c>
      <c r="D69" s="24"/>
      <c r="E69" s="24"/>
      <c r="F69" s="24"/>
      <c r="G69" s="24"/>
      <c r="H69" s="24"/>
      <c r="I69" s="24"/>
    </row>
    <row r="70" spans="1:10" x14ac:dyDescent="0.25">
      <c r="A70" s="21" t="s">
        <v>127</v>
      </c>
      <c r="C70" s="27"/>
      <c r="D70" s="27"/>
      <c r="E70" s="27"/>
      <c r="F70" s="27"/>
      <c r="G70" s="27"/>
      <c r="H70" s="27"/>
      <c r="I70" s="27"/>
    </row>
    <row r="71" spans="1:10" x14ac:dyDescent="0.25">
      <c r="A71" s="18" t="s">
        <v>130</v>
      </c>
      <c r="B71" s="18" t="s">
        <v>128</v>
      </c>
      <c r="C71" s="24" t="s">
        <v>129</v>
      </c>
      <c r="D71" s="24"/>
      <c r="E71" s="24"/>
      <c r="F71" s="24"/>
      <c r="G71" s="24"/>
      <c r="H71" s="24"/>
      <c r="I71" s="24"/>
    </row>
    <row r="72" spans="1:10" ht="45" x14ac:dyDescent="0.25">
      <c r="A72" s="18" t="s">
        <v>176</v>
      </c>
      <c r="B72" s="20" t="s">
        <v>177</v>
      </c>
      <c r="C72" s="24" t="s">
        <v>137</v>
      </c>
      <c r="D72" s="24"/>
      <c r="E72" s="24"/>
      <c r="F72" s="24"/>
      <c r="G72" s="24"/>
      <c r="H72" s="24"/>
      <c r="I72" s="24"/>
      <c r="J72" t="s">
        <v>194</v>
      </c>
    </row>
    <row r="73" spans="1:10" ht="45" x14ac:dyDescent="0.25">
      <c r="A73" s="18" t="s">
        <v>176</v>
      </c>
      <c r="B73" s="20" t="s">
        <v>178</v>
      </c>
      <c r="C73" s="24" t="s">
        <v>181</v>
      </c>
      <c r="D73" s="24"/>
      <c r="E73" s="24"/>
      <c r="F73" s="24"/>
      <c r="G73" s="24"/>
      <c r="H73" s="24"/>
      <c r="I73" s="24"/>
    </row>
    <row r="74" spans="1:10" ht="45" customHeight="1" x14ac:dyDescent="0.25">
      <c r="A74" s="18" t="s">
        <v>176</v>
      </c>
      <c r="B74" s="20" t="s">
        <v>143</v>
      </c>
      <c r="C74" s="24" t="s">
        <v>137</v>
      </c>
      <c r="D74" s="24"/>
      <c r="E74" s="24"/>
      <c r="F74" s="24"/>
      <c r="G74" s="24"/>
      <c r="H74" s="24"/>
      <c r="I74" s="24"/>
      <c r="J74" t="s">
        <v>194</v>
      </c>
    </row>
    <row r="75" spans="1:10" ht="45" x14ac:dyDescent="0.25">
      <c r="A75" s="18" t="s">
        <v>176</v>
      </c>
      <c r="B75" s="20" t="s">
        <v>144</v>
      </c>
      <c r="C75" s="24" t="s">
        <v>182</v>
      </c>
      <c r="D75" s="24"/>
      <c r="E75" s="24"/>
      <c r="F75" s="24"/>
      <c r="G75" s="24"/>
      <c r="H75" s="24"/>
      <c r="I75" s="24"/>
    </row>
    <row r="76" spans="1:10" ht="45" customHeight="1" x14ac:dyDescent="0.25">
      <c r="A76" s="18" t="s">
        <v>176</v>
      </c>
      <c r="B76" s="20" t="s">
        <v>179</v>
      </c>
      <c r="C76" s="24" t="s">
        <v>139</v>
      </c>
      <c r="D76" s="24"/>
      <c r="E76" s="24"/>
      <c r="F76" s="24"/>
      <c r="G76" s="24"/>
      <c r="H76" s="24"/>
      <c r="I76" s="24"/>
      <c r="J76" t="s">
        <v>194</v>
      </c>
    </row>
    <row r="77" spans="1:10" ht="45" x14ac:dyDescent="0.25">
      <c r="A77" s="18" t="s">
        <v>176</v>
      </c>
      <c r="B77" s="20" t="s">
        <v>179</v>
      </c>
      <c r="C77" s="24" t="s">
        <v>183</v>
      </c>
      <c r="D77" s="24"/>
      <c r="E77" s="24"/>
      <c r="F77" s="24"/>
      <c r="G77" s="24"/>
      <c r="H77" s="24"/>
      <c r="I77" s="24"/>
    </row>
    <row r="78" spans="1:10" ht="45" customHeight="1" x14ac:dyDescent="0.25">
      <c r="A78" s="18" t="s">
        <v>176</v>
      </c>
      <c r="B78" s="20" t="s">
        <v>180</v>
      </c>
      <c r="C78" s="24" t="s">
        <v>139</v>
      </c>
      <c r="D78" s="24"/>
      <c r="E78" s="24"/>
      <c r="F78" s="24"/>
      <c r="G78" s="24"/>
      <c r="H78" s="24"/>
      <c r="I78" s="24"/>
      <c r="J78" t="s">
        <v>194</v>
      </c>
    </row>
    <row r="79" spans="1:10" x14ac:dyDescent="0.25">
      <c r="A79" s="22" t="s">
        <v>184</v>
      </c>
      <c r="B79" s="19"/>
      <c r="C79" s="26"/>
      <c r="D79" s="26"/>
      <c r="E79" s="26"/>
      <c r="F79" s="26"/>
      <c r="G79" s="26"/>
      <c r="H79" s="26"/>
      <c r="I79" s="26"/>
    </row>
    <row r="80" spans="1:10" x14ac:dyDescent="0.25">
      <c r="A80" s="18" t="s">
        <v>130</v>
      </c>
      <c r="B80" s="18" t="s">
        <v>128</v>
      </c>
      <c r="C80" s="24" t="s">
        <v>129</v>
      </c>
      <c r="D80" s="24"/>
      <c r="E80" s="24"/>
      <c r="F80" s="24"/>
      <c r="G80" s="24"/>
      <c r="H80" s="24"/>
      <c r="I80" s="24"/>
    </row>
    <row r="81" spans="1:10" x14ac:dyDescent="0.25">
      <c r="A81" s="18" t="s">
        <v>151</v>
      </c>
      <c r="B81" s="5" t="s">
        <v>185</v>
      </c>
      <c r="C81" s="24" t="s">
        <v>137</v>
      </c>
      <c r="D81" s="24"/>
      <c r="E81" s="24"/>
      <c r="F81" s="24"/>
      <c r="G81" s="24"/>
      <c r="H81" s="24"/>
      <c r="I81" s="24"/>
      <c r="J81" t="s">
        <v>194</v>
      </c>
    </row>
    <row r="82" spans="1:10" x14ac:dyDescent="0.25">
      <c r="A82" s="18" t="s">
        <v>151</v>
      </c>
      <c r="B82" s="5" t="s">
        <v>186</v>
      </c>
      <c r="C82" s="24" t="s">
        <v>138</v>
      </c>
      <c r="D82" s="24"/>
      <c r="E82" s="24"/>
      <c r="F82" s="24"/>
      <c r="G82" s="24"/>
      <c r="H82" s="24"/>
      <c r="I82" s="24"/>
    </row>
    <row r="83" spans="1:10" x14ac:dyDescent="0.25">
      <c r="A83" s="18" t="s">
        <v>151</v>
      </c>
      <c r="B83" s="18" t="s">
        <v>187</v>
      </c>
      <c r="C83" s="24" t="s">
        <v>139</v>
      </c>
      <c r="D83" s="24"/>
      <c r="E83" s="24"/>
      <c r="F83" s="24"/>
      <c r="G83" s="24"/>
      <c r="H83" s="24"/>
      <c r="I83" s="24"/>
      <c r="J83" t="s">
        <v>194</v>
      </c>
    </row>
    <row r="84" spans="1:10" x14ac:dyDescent="0.25">
      <c r="A84" s="18" t="s">
        <v>151</v>
      </c>
      <c r="B84" s="18" t="s">
        <v>188</v>
      </c>
      <c r="C84" s="24" t="s">
        <v>140</v>
      </c>
      <c r="D84" s="24"/>
      <c r="E84" s="24"/>
      <c r="F84" s="24"/>
      <c r="G84" s="24"/>
      <c r="H84" s="24"/>
      <c r="I84" s="24"/>
    </row>
    <row r="85" spans="1:10" ht="38.25" customHeight="1" x14ac:dyDescent="0.25">
      <c r="A85" s="18" t="s">
        <v>151</v>
      </c>
      <c r="B85" s="18" t="s">
        <v>189</v>
      </c>
      <c r="C85" s="24" t="s">
        <v>141</v>
      </c>
      <c r="D85" s="24"/>
      <c r="E85" s="24"/>
      <c r="F85" s="24"/>
      <c r="G85" s="24"/>
      <c r="H85" s="24"/>
      <c r="I85" s="24"/>
      <c r="J85" t="s">
        <v>194</v>
      </c>
    </row>
    <row r="86" spans="1:10" ht="33.75" customHeight="1" x14ac:dyDescent="0.25">
      <c r="A86" s="18" t="s">
        <v>151</v>
      </c>
      <c r="B86" s="18" t="s">
        <v>190</v>
      </c>
      <c r="C86" s="24" t="s">
        <v>191</v>
      </c>
      <c r="D86" s="24"/>
      <c r="E86" s="24"/>
      <c r="F86" s="24"/>
      <c r="G86" s="24"/>
      <c r="H86" s="24"/>
      <c r="I86" s="24"/>
    </row>
    <row r="87" spans="1:10" ht="36.75" customHeight="1" x14ac:dyDescent="0.25">
      <c r="A87" s="18" t="s">
        <v>151</v>
      </c>
      <c r="B87" s="18" t="s">
        <v>192</v>
      </c>
      <c r="C87" s="24" t="s">
        <v>137</v>
      </c>
      <c r="D87" s="24"/>
      <c r="E87" s="24"/>
      <c r="F87" s="24"/>
      <c r="G87" s="24"/>
      <c r="H87" s="24"/>
      <c r="I87" s="24"/>
      <c r="J87" t="s">
        <v>194</v>
      </c>
    </row>
    <row r="88" spans="1:10" x14ac:dyDescent="0.25">
      <c r="A88" s="18" t="s">
        <v>151</v>
      </c>
      <c r="B88" s="18" t="s">
        <v>193</v>
      </c>
      <c r="C88" s="24" t="s">
        <v>149</v>
      </c>
      <c r="D88" s="24"/>
      <c r="E88" s="24"/>
      <c r="F88" s="24"/>
      <c r="G88" s="24"/>
      <c r="H88" s="24"/>
      <c r="I88" s="24"/>
    </row>
    <row r="89" spans="1:10" x14ac:dyDescent="0.25">
      <c r="A89" s="18" t="s">
        <v>151</v>
      </c>
      <c r="B89" s="18" t="s">
        <v>145</v>
      </c>
      <c r="C89" s="24" t="s">
        <v>137</v>
      </c>
      <c r="D89" s="24"/>
      <c r="E89" s="24"/>
      <c r="F89" s="24"/>
      <c r="G89" s="24"/>
      <c r="H89" s="24"/>
      <c r="I89" s="24"/>
      <c r="J89" t="s">
        <v>194</v>
      </c>
    </row>
    <row r="90" spans="1:10" x14ac:dyDescent="0.25">
      <c r="A90" s="18" t="s">
        <v>151</v>
      </c>
      <c r="B90" s="18" t="s">
        <v>146</v>
      </c>
      <c r="C90" s="24" t="s">
        <v>149</v>
      </c>
      <c r="D90" s="24"/>
      <c r="E90" s="24"/>
      <c r="F90" s="24"/>
      <c r="G90" s="24"/>
      <c r="H90" s="24"/>
      <c r="I90" s="24"/>
    </row>
    <row r="91" spans="1:10" x14ac:dyDescent="0.25">
      <c r="A91" s="18" t="s">
        <v>151</v>
      </c>
      <c r="B91" s="18" t="s">
        <v>147</v>
      </c>
      <c r="C91" s="24" t="s">
        <v>137</v>
      </c>
      <c r="D91" s="24"/>
      <c r="E91" s="24"/>
      <c r="F91" s="24"/>
      <c r="G91" s="24"/>
      <c r="H91" s="24"/>
      <c r="I91" s="24"/>
      <c r="J91" t="s">
        <v>194</v>
      </c>
    </row>
    <row r="92" spans="1:10" ht="27" customHeight="1" x14ac:dyDescent="0.25">
      <c r="A92" s="18" t="s">
        <v>151</v>
      </c>
      <c r="B92" s="18" t="s">
        <v>148</v>
      </c>
      <c r="C92" s="24" t="s">
        <v>150</v>
      </c>
      <c r="D92" s="24"/>
      <c r="E92" s="24"/>
      <c r="F92" s="24"/>
      <c r="G92" s="24"/>
      <c r="H92" s="24"/>
      <c r="I92" s="24"/>
    </row>
    <row r="93" spans="1:10" x14ac:dyDescent="0.25">
      <c r="A93" s="22" t="s">
        <v>184</v>
      </c>
      <c r="B93" s="19"/>
      <c r="C93" s="27"/>
      <c r="D93" s="27"/>
      <c r="E93" s="27"/>
      <c r="F93" s="27"/>
      <c r="G93" s="27"/>
      <c r="H93" s="27"/>
      <c r="I93" s="27"/>
    </row>
    <row r="94" spans="1:10" x14ac:dyDescent="0.25">
      <c r="A94" s="18" t="s">
        <v>130</v>
      </c>
      <c r="B94" s="18" t="s">
        <v>128</v>
      </c>
      <c r="C94" s="24" t="s">
        <v>129</v>
      </c>
      <c r="D94" s="24"/>
      <c r="E94" s="24"/>
      <c r="F94" s="24"/>
      <c r="G94" s="24"/>
      <c r="H94" s="24"/>
      <c r="I94" s="24"/>
    </row>
    <row r="95" spans="1:10" ht="30" x14ac:dyDescent="0.25">
      <c r="A95" s="18" t="s">
        <v>152</v>
      </c>
      <c r="B95" s="18" t="s">
        <v>195</v>
      </c>
      <c r="C95" s="24" t="s">
        <v>137</v>
      </c>
      <c r="D95" s="24"/>
      <c r="E95" s="24"/>
      <c r="F95" s="24"/>
      <c r="G95" s="24"/>
      <c r="H95" s="24"/>
      <c r="I95" s="24"/>
      <c r="J95" t="s">
        <v>194</v>
      </c>
    </row>
    <row r="96" spans="1:10" ht="71.25" customHeight="1" x14ac:dyDescent="0.25">
      <c r="A96" s="18" t="s">
        <v>152</v>
      </c>
      <c r="B96" s="18" t="s">
        <v>196</v>
      </c>
      <c r="C96" s="24" t="s">
        <v>200</v>
      </c>
      <c r="D96" s="24"/>
      <c r="E96" s="24"/>
      <c r="F96" s="24"/>
      <c r="G96" s="24"/>
      <c r="H96" s="24"/>
      <c r="I96" s="24"/>
      <c r="J96" t="s">
        <v>194</v>
      </c>
    </row>
    <row r="97" spans="1:10" ht="30" x14ac:dyDescent="0.25">
      <c r="A97" s="18" t="s">
        <v>152</v>
      </c>
      <c r="B97" s="18" t="s">
        <v>133</v>
      </c>
      <c r="C97" s="24" t="s">
        <v>139</v>
      </c>
      <c r="D97" s="24"/>
      <c r="E97" s="24"/>
      <c r="F97" s="24"/>
      <c r="G97" s="24"/>
      <c r="H97" s="24"/>
      <c r="I97" s="24"/>
      <c r="J97" t="s">
        <v>194</v>
      </c>
    </row>
    <row r="98" spans="1:10" ht="53.25" customHeight="1" x14ac:dyDescent="0.25">
      <c r="A98" s="18" t="s">
        <v>152</v>
      </c>
      <c r="B98" s="18" t="s">
        <v>134</v>
      </c>
      <c r="C98" s="24" t="s">
        <v>201</v>
      </c>
      <c r="D98" s="24"/>
      <c r="E98" s="24"/>
      <c r="F98" s="24"/>
      <c r="G98" s="24"/>
      <c r="H98" s="24"/>
      <c r="I98" s="24"/>
      <c r="J98" t="s">
        <v>194</v>
      </c>
    </row>
    <row r="99" spans="1:10" x14ac:dyDescent="0.25">
      <c r="A99" s="18" t="s">
        <v>152</v>
      </c>
      <c r="B99" s="20" t="s">
        <v>74</v>
      </c>
      <c r="C99" s="24" t="s">
        <v>222</v>
      </c>
      <c r="D99" s="24"/>
      <c r="E99" s="24"/>
      <c r="F99" s="24"/>
      <c r="G99" s="24"/>
      <c r="H99" s="24"/>
      <c r="I99" s="24"/>
    </row>
    <row r="100" spans="1:10" ht="33" customHeight="1" x14ac:dyDescent="0.25">
      <c r="A100" s="18" t="s">
        <v>152</v>
      </c>
      <c r="B100" s="20" t="s">
        <v>197</v>
      </c>
      <c r="C100" s="24" t="s">
        <v>139</v>
      </c>
      <c r="D100" s="24"/>
      <c r="E100" s="24"/>
      <c r="F100" s="24"/>
      <c r="G100" s="24"/>
      <c r="H100" s="24"/>
      <c r="I100" s="24"/>
      <c r="J100" t="s">
        <v>194</v>
      </c>
    </row>
    <row r="101" spans="1:10" x14ac:dyDescent="0.25">
      <c r="A101" s="18" t="s">
        <v>152</v>
      </c>
      <c r="B101" s="20" t="s">
        <v>81</v>
      </c>
      <c r="C101" s="24" t="s">
        <v>149</v>
      </c>
      <c r="D101" s="24"/>
      <c r="E101" s="24"/>
      <c r="F101" s="24"/>
      <c r="G101" s="24"/>
      <c r="H101" s="24"/>
      <c r="I101" s="24"/>
    </row>
    <row r="102" spans="1:10" ht="27" customHeight="1" x14ac:dyDescent="0.25">
      <c r="A102" s="18" t="s">
        <v>152</v>
      </c>
      <c r="B102" s="20" t="s">
        <v>92</v>
      </c>
      <c r="C102" s="24" t="s">
        <v>224</v>
      </c>
      <c r="D102" s="24"/>
      <c r="E102" s="24"/>
      <c r="F102" s="24"/>
      <c r="G102" s="24"/>
      <c r="H102" s="24"/>
      <c r="I102" s="24"/>
    </row>
    <row r="103" spans="1:10" ht="37.5" customHeight="1" x14ac:dyDescent="0.25">
      <c r="A103" s="18" t="s">
        <v>152</v>
      </c>
      <c r="B103" s="20" t="s">
        <v>91</v>
      </c>
      <c r="C103" s="44" t="s">
        <v>150</v>
      </c>
      <c r="D103" s="45"/>
      <c r="E103" s="45"/>
      <c r="F103" s="45"/>
      <c r="G103" s="45"/>
      <c r="H103" s="45"/>
      <c r="I103" s="46"/>
    </row>
    <row r="104" spans="1:10" ht="37.5" customHeight="1" x14ac:dyDescent="0.25">
      <c r="A104" s="18" t="s">
        <v>152</v>
      </c>
      <c r="B104" s="5" t="s">
        <v>93</v>
      </c>
      <c r="C104" s="24" t="s">
        <v>155</v>
      </c>
      <c r="D104" s="24"/>
      <c r="E104" s="24"/>
      <c r="F104" s="24"/>
      <c r="G104" s="24"/>
      <c r="H104" s="24"/>
      <c r="I104" s="24"/>
    </row>
    <row r="105" spans="1:10" ht="37.5" customHeight="1" x14ac:dyDescent="0.25">
      <c r="A105" s="18" t="s">
        <v>152</v>
      </c>
      <c r="B105" s="5" t="s">
        <v>94</v>
      </c>
      <c r="C105" s="24" t="s">
        <v>223</v>
      </c>
      <c r="D105" s="24"/>
      <c r="E105" s="24"/>
      <c r="F105" s="24"/>
      <c r="G105" s="24"/>
      <c r="H105" s="24"/>
      <c r="I105" s="24"/>
    </row>
    <row r="106" spans="1:10" ht="42.75" customHeight="1" x14ac:dyDescent="0.25">
      <c r="A106" s="18" t="s">
        <v>152</v>
      </c>
      <c r="B106" s="20" t="s">
        <v>163</v>
      </c>
      <c r="C106" s="24" t="s">
        <v>164</v>
      </c>
      <c r="D106" s="24"/>
      <c r="E106" s="24"/>
      <c r="F106" s="24"/>
      <c r="G106" s="24"/>
      <c r="H106" s="24"/>
      <c r="I106" s="24"/>
    </row>
    <row r="107" spans="1:10" ht="66.75" customHeight="1" x14ac:dyDescent="0.25">
      <c r="A107" s="18" t="s">
        <v>152</v>
      </c>
      <c r="B107" s="20" t="s">
        <v>166</v>
      </c>
      <c r="C107" s="24" t="s">
        <v>168</v>
      </c>
      <c r="D107" s="24"/>
      <c r="E107" s="24"/>
      <c r="F107" s="24"/>
      <c r="G107" s="24"/>
      <c r="H107" s="24"/>
      <c r="I107" s="24"/>
    </row>
    <row r="108" spans="1:10" ht="57" customHeight="1" x14ac:dyDescent="0.25">
      <c r="A108" s="18" t="s">
        <v>152</v>
      </c>
      <c r="B108" s="20" t="s">
        <v>167</v>
      </c>
      <c r="C108" s="24" t="s">
        <v>169</v>
      </c>
      <c r="D108" s="24"/>
      <c r="E108" s="24"/>
      <c r="F108" s="24"/>
      <c r="G108" s="24"/>
      <c r="H108" s="24"/>
      <c r="I108" s="24"/>
    </row>
  </sheetData>
  <autoFilter ref="A33:J108" xr:uid="{473C64CA-D56E-47BE-93D8-D86CB17F3483}"/>
  <mergeCells count="75">
    <mergeCell ref="C107:I107"/>
    <mergeCell ref="C105:I105"/>
    <mergeCell ref="C108:I108"/>
    <mergeCell ref="C100:I100"/>
    <mergeCell ref="C101:I101"/>
    <mergeCell ref="C103:I103"/>
    <mergeCell ref="C106:I106"/>
    <mergeCell ref="C102:I102"/>
    <mergeCell ref="C99:I99"/>
    <mergeCell ref="C104:I104"/>
    <mergeCell ref="C87:I87"/>
    <mergeCell ref="C88:I88"/>
    <mergeCell ref="C89:I89"/>
    <mergeCell ref="C90:I90"/>
    <mergeCell ref="C91:I91"/>
    <mergeCell ref="C92:I92"/>
    <mergeCell ref="C93:I93"/>
    <mergeCell ref="C94:I94"/>
    <mergeCell ref="C95:I95"/>
    <mergeCell ref="C96:I96"/>
    <mergeCell ref="C97:I97"/>
    <mergeCell ref="C98:I98"/>
    <mergeCell ref="C86:I86"/>
    <mergeCell ref="C76:I76"/>
    <mergeCell ref="C77:I77"/>
    <mergeCell ref="C73:I73"/>
    <mergeCell ref="C75:I75"/>
    <mergeCell ref="C80:I80"/>
    <mergeCell ref="C79:I79"/>
    <mergeCell ref="C81:I81"/>
    <mergeCell ref="C82:I82"/>
    <mergeCell ref="C83:I83"/>
    <mergeCell ref="C84:I84"/>
    <mergeCell ref="C85:I85"/>
    <mergeCell ref="C69:I69"/>
    <mergeCell ref="C71:I71"/>
    <mergeCell ref="C72:I72"/>
    <mergeCell ref="C74:I74"/>
    <mergeCell ref="C78:I78"/>
    <mergeCell ref="C70:I70"/>
    <mergeCell ref="C59:I59"/>
    <mergeCell ref="C60:I60"/>
    <mergeCell ref="C62:I62"/>
    <mergeCell ref="C64:I64"/>
    <mergeCell ref="C66:I66"/>
    <mergeCell ref="C68:I68"/>
    <mergeCell ref="C61:I61"/>
    <mergeCell ref="C63:I63"/>
    <mergeCell ref="C65:I65"/>
    <mergeCell ref="C67:I67"/>
    <mergeCell ref="C58:I58"/>
    <mergeCell ref="C46:I46"/>
    <mergeCell ref="C47:I47"/>
    <mergeCell ref="C48:I48"/>
    <mergeCell ref="C50:I50"/>
    <mergeCell ref="C51:I51"/>
    <mergeCell ref="C52:I52"/>
    <mergeCell ref="C49:I49"/>
    <mergeCell ref="C53:I53"/>
    <mergeCell ref="C54:I54"/>
    <mergeCell ref="C55:I55"/>
    <mergeCell ref="C56:I56"/>
    <mergeCell ref="C57:I57"/>
    <mergeCell ref="C45:I45"/>
    <mergeCell ref="C34:I34"/>
    <mergeCell ref="C35:I35"/>
    <mergeCell ref="C36:I36"/>
    <mergeCell ref="C37:I37"/>
    <mergeCell ref="C38:I38"/>
    <mergeCell ref="C39:I39"/>
    <mergeCell ref="C40:I40"/>
    <mergeCell ref="C41:I41"/>
    <mergeCell ref="C42:I42"/>
    <mergeCell ref="C43:I43"/>
    <mergeCell ref="C44:I4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26"/>
  <sheetViews>
    <sheetView showGridLines="0" zoomScaleNormal="100" workbookViewId="0">
      <selection activeCell="J1" sqref="J1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  <col min="10" max="10" width="33.42578125" customWidth="1"/>
  </cols>
  <sheetData>
    <row r="1" spans="1:9" ht="27.75" customHeight="1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</v>
      </c>
      <c r="D4" s="28"/>
      <c r="E4" s="28"/>
      <c r="F4" s="28"/>
      <c r="G4" s="28"/>
      <c r="H4" s="28"/>
      <c r="I4" s="28"/>
    </row>
    <row r="5" spans="1:9" ht="6" customHeight="1" x14ac:dyDescent="0.25"/>
    <row r="6" spans="1:9" ht="19.5" customHeight="1" x14ac:dyDescent="0.25">
      <c r="A6" s="31" t="s">
        <v>4</v>
      </c>
      <c r="B6" s="31"/>
      <c r="C6" s="31"/>
      <c r="D6" s="31"/>
      <c r="E6" s="31"/>
      <c r="F6" s="31"/>
      <c r="G6" s="31"/>
      <c r="H6" s="31"/>
      <c r="I6" s="31"/>
    </row>
    <row r="7" spans="1:9" ht="18" customHeight="1" x14ac:dyDescent="0.25">
      <c r="B7" s="4" t="s">
        <v>5</v>
      </c>
      <c r="D7" s="4" t="s">
        <v>6</v>
      </c>
      <c r="F7" s="4" t="s">
        <v>7</v>
      </c>
      <c r="H7" s="4" t="s">
        <v>8</v>
      </c>
      <c r="I7" s="4" t="s">
        <v>9</v>
      </c>
    </row>
    <row r="8" spans="1:9" ht="18.75" customHeight="1" x14ac:dyDescent="0.25">
      <c r="B8" s="5" t="s">
        <v>10</v>
      </c>
      <c r="D8" s="3"/>
      <c r="F8" s="3"/>
      <c r="H8" s="6" t="str">
        <f>IFERROR(IF(AND(ISNUMBER(D8),ISNUMBER(F8),D8&gt;0),F8/D8,"—"),"—")</f>
        <v>—</v>
      </c>
      <c r="I8" s="7" t="s">
        <v>11</v>
      </c>
    </row>
    <row r="9" spans="1:9" ht="18.75" customHeight="1" x14ac:dyDescent="0.25">
      <c r="B9" s="5" t="s">
        <v>12</v>
      </c>
      <c r="D9" s="3"/>
      <c r="F9" s="3"/>
      <c r="H9" s="6" t="str">
        <f>IFERROR(IF(AND(ISNUMBER(D9),ISNUMBER(F9),D9&gt;0),F9/D9,"—"),"—")</f>
        <v>—</v>
      </c>
      <c r="I9" s="7" t="s">
        <v>13</v>
      </c>
    </row>
    <row r="10" spans="1:9" ht="18.75" customHeight="1" x14ac:dyDescent="0.25">
      <c r="B10" s="5" t="s">
        <v>14</v>
      </c>
      <c r="D10" s="3"/>
      <c r="F10" s="3"/>
      <c r="H10" s="6" t="str">
        <f>IFERROR(IF(AND(ISNUMBER(D10),ISNUMBER(F10),D10&gt;0),F10/D10,"—"),"—")</f>
        <v>—</v>
      </c>
      <c r="I10" s="7" t="s">
        <v>15</v>
      </c>
    </row>
    <row r="11" spans="1:9" ht="6" customHeight="1" x14ac:dyDescent="0.25"/>
    <row r="12" spans="1:9" ht="19.5" customHeight="1" x14ac:dyDescent="0.25">
      <c r="A12" s="31" t="s">
        <v>16</v>
      </c>
      <c r="B12" s="31"/>
      <c r="C12" s="31"/>
      <c r="D12" s="31"/>
      <c r="E12" s="31"/>
      <c r="F12" s="31"/>
      <c r="G12" s="31"/>
      <c r="H12" s="31"/>
      <c r="I12" s="31"/>
    </row>
    <row r="13" spans="1:9" ht="18" customHeight="1" x14ac:dyDescent="0.25">
      <c r="B13" s="4" t="s">
        <v>5</v>
      </c>
      <c r="D13" s="4" t="s">
        <v>6</v>
      </c>
      <c r="F13" s="4" t="s">
        <v>7</v>
      </c>
      <c r="H13" s="4" t="s">
        <v>8</v>
      </c>
      <c r="I13" s="4" t="s">
        <v>9</v>
      </c>
    </row>
    <row r="14" spans="1:9" ht="18.75" customHeight="1" x14ac:dyDescent="0.25">
      <c r="B14" s="5" t="s">
        <v>17</v>
      </c>
      <c r="D14" s="3"/>
      <c r="F14" s="3"/>
      <c r="H14" s="6" t="str">
        <f t="shared" ref="H14:H19" si="0">IFERROR(IF(AND(ISNUMBER(D14),ISNUMBER(F14),D14&gt;0),F14/D14,"—"),"—")</f>
        <v>—</v>
      </c>
      <c r="I14" s="7" t="s">
        <v>18</v>
      </c>
    </row>
    <row r="15" spans="1:9" ht="18.75" customHeight="1" x14ac:dyDescent="0.25">
      <c r="B15" s="5" t="s">
        <v>19</v>
      </c>
      <c r="D15" s="3"/>
      <c r="F15" s="3"/>
      <c r="H15" s="6" t="str">
        <f t="shared" si="0"/>
        <v>—</v>
      </c>
      <c r="I15" s="7" t="s">
        <v>18</v>
      </c>
    </row>
    <row r="16" spans="1:9" ht="18.75" customHeight="1" x14ac:dyDescent="0.25">
      <c r="B16" s="5" t="s">
        <v>20</v>
      </c>
      <c r="D16" s="8">
        <f>IFERROR(D14-D15,"—")</f>
        <v>0</v>
      </c>
      <c r="F16" s="8">
        <f>IFERROR(F14-F15,"—")</f>
        <v>0</v>
      </c>
      <c r="H16" s="6" t="str">
        <f t="shared" si="0"/>
        <v>—</v>
      </c>
      <c r="I16" s="7" t="s">
        <v>18</v>
      </c>
    </row>
    <row r="17" spans="1:9" ht="18.75" customHeight="1" x14ac:dyDescent="0.25">
      <c r="B17" s="5" t="s">
        <v>21</v>
      </c>
      <c r="D17" s="9" t="str">
        <f>IFERROR(D16/D14,"—")</f>
        <v>—</v>
      </c>
      <c r="F17" s="9" t="str">
        <f>IFERROR(F16/F14,"—")</f>
        <v>—</v>
      </c>
      <c r="H17" s="6" t="str">
        <f t="shared" si="0"/>
        <v>—</v>
      </c>
      <c r="I17" s="7" t="s">
        <v>8</v>
      </c>
    </row>
    <row r="18" spans="1:9" ht="18.75" customHeight="1" x14ac:dyDescent="0.25">
      <c r="B18" s="5" t="s">
        <v>22</v>
      </c>
      <c r="D18" s="8" t="str">
        <f>IFERROR(D14/D10,"—")</f>
        <v>—</v>
      </c>
      <c r="F18" s="8" t="str">
        <f>IFERROR(F14/F10,"—")</f>
        <v>—</v>
      </c>
      <c r="H18" s="6" t="str">
        <f t="shared" si="0"/>
        <v>—</v>
      </c>
      <c r="I18" s="7" t="s">
        <v>18</v>
      </c>
    </row>
    <row r="19" spans="1:9" ht="18.75" customHeight="1" x14ac:dyDescent="0.25">
      <c r="B19" s="5" t="s">
        <v>23</v>
      </c>
      <c r="D19" s="3"/>
      <c r="F19" s="3"/>
      <c r="H19" s="6" t="str">
        <f t="shared" si="0"/>
        <v>—</v>
      </c>
      <c r="I19" s="7" t="s">
        <v>8</v>
      </c>
    </row>
    <row r="20" spans="1:9" ht="6" customHeight="1" x14ac:dyDescent="0.25"/>
    <row r="21" spans="1:9" ht="19.5" customHeight="1" x14ac:dyDescent="0.25">
      <c r="A21" s="31" t="s">
        <v>24</v>
      </c>
      <c r="B21" s="31"/>
      <c r="C21" s="31"/>
      <c r="D21" s="31"/>
      <c r="E21" s="31"/>
      <c r="F21" s="31"/>
      <c r="G21" s="31"/>
      <c r="H21" s="31"/>
      <c r="I21" s="31"/>
    </row>
    <row r="22" spans="1:9" ht="18" customHeight="1" x14ac:dyDescent="0.25">
      <c r="B22" s="4" t="s">
        <v>5</v>
      </c>
      <c r="D22" s="32" t="s">
        <v>25</v>
      </c>
      <c r="E22" s="32"/>
      <c r="F22" s="32"/>
      <c r="H22" s="32" t="s">
        <v>26</v>
      </c>
      <c r="I22" s="32"/>
    </row>
    <row r="23" spans="1:9" ht="18.75" customHeight="1" x14ac:dyDescent="0.25">
      <c r="B23" s="5" t="s">
        <v>27</v>
      </c>
      <c r="D23" s="28"/>
      <c r="E23" s="28"/>
      <c r="F23" s="28"/>
      <c r="H23" s="29" t="s">
        <v>28</v>
      </c>
      <c r="I23" s="29"/>
    </row>
    <row r="24" spans="1:9" ht="18.75" customHeight="1" x14ac:dyDescent="0.25">
      <c r="B24" s="5" t="s">
        <v>29</v>
      </c>
      <c r="D24" s="28"/>
      <c r="E24" s="28"/>
      <c r="F24" s="28"/>
      <c r="H24" s="29" t="s">
        <v>28</v>
      </c>
      <c r="I24" s="29"/>
    </row>
    <row r="25" spans="1:9" ht="7.5" customHeight="1" x14ac:dyDescent="0.25"/>
    <row r="26" spans="1:9" ht="15.75" customHeight="1" x14ac:dyDescent="0.25">
      <c r="A26" s="30" t="s">
        <v>30</v>
      </c>
      <c r="B26" s="30"/>
      <c r="C26" s="30"/>
      <c r="D26" s="30"/>
      <c r="E26" s="30"/>
      <c r="F26" s="30"/>
      <c r="G26" s="30"/>
      <c r="H26" s="30"/>
      <c r="I26" s="30"/>
    </row>
  </sheetData>
  <mergeCells count="14">
    <mergeCell ref="A1:I1"/>
    <mergeCell ref="A2:I2"/>
    <mergeCell ref="D3:I3"/>
    <mergeCell ref="D4:I4"/>
    <mergeCell ref="A6:I6"/>
    <mergeCell ref="D24:F24"/>
    <mergeCell ref="H24:I24"/>
    <mergeCell ref="A26:I26"/>
    <mergeCell ref="A12:I12"/>
    <mergeCell ref="A21:I21"/>
    <mergeCell ref="D22:F22"/>
    <mergeCell ref="H22:I22"/>
    <mergeCell ref="D23:F23"/>
    <mergeCell ref="H23:I23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42"/>
  <sheetViews>
    <sheetView showGridLines="0" zoomScaleNormal="100" workbookViewId="0">
      <selection activeCell="D20" sqref="D20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33" t="s">
        <v>31</v>
      </c>
      <c r="B1" s="33"/>
      <c r="C1" s="33"/>
      <c r="D1" s="33"/>
      <c r="E1" s="33"/>
      <c r="F1" s="33"/>
      <c r="G1" s="33"/>
      <c r="H1" s="33"/>
      <c r="I1" s="33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32</v>
      </c>
      <c r="D4" s="28"/>
      <c r="E4" s="28"/>
      <c r="F4" s="28"/>
      <c r="G4" s="28"/>
      <c r="H4" s="28"/>
      <c r="I4" s="28"/>
    </row>
    <row r="5" spans="1:9" ht="16.5" customHeight="1" x14ac:dyDescent="0.25">
      <c r="B5" s="2" t="s">
        <v>33</v>
      </c>
      <c r="D5" s="28"/>
      <c r="E5" s="28"/>
      <c r="F5" s="28"/>
      <c r="G5" s="28"/>
      <c r="H5" s="28"/>
      <c r="I5" s="28"/>
    </row>
    <row r="6" spans="1:9" ht="6" customHeight="1" x14ac:dyDescent="0.25"/>
    <row r="7" spans="1:9" ht="19.5" customHeight="1" x14ac:dyDescent="0.25">
      <c r="A7" s="31" t="s">
        <v>34</v>
      </c>
      <c r="B7" s="31"/>
      <c r="C7" s="31"/>
      <c r="D7" s="31"/>
      <c r="E7" s="31"/>
      <c r="F7" s="31"/>
      <c r="G7" s="31"/>
      <c r="H7" s="31"/>
      <c r="I7" s="31"/>
    </row>
    <row r="8" spans="1:9" ht="18" customHeight="1" x14ac:dyDescent="0.25">
      <c r="B8" s="4" t="s">
        <v>5</v>
      </c>
      <c r="D8" s="4" t="s">
        <v>6</v>
      </c>
      <c r="F8" s="4" t="s">
        <v>7</v>
      </c>
      <c r="H8" s="4" t="s">
        <v>8</v>
      </c>
      <c r="I8" s="4" t="s">
        <v>9</v>
      </c>
    </row>
    <row r="9" spans="1:9" ht="18.75" customHeight="1" x14ac:dyDescent="0.25">
      <c r="B9" s="5" t="s">
        <v>35</v>
      </c>
      <c r="D9" s="3"/>
      <c r="F9" s="3"/>
      <c r="H9" s="6" t="str">
        <f>IFERROR(IF(AND(ISNUMBER(D9),ISNUMBER(F9),D9&gt;0),F9/D9,"—"),"—")</f>
        <v>—</v>
      </c>
      <c r="I9" s="7" t="s">
        <v>11</v>
      </c>
    </row>
    <row r="10" spans="1:9" ht="18.75" customHeight="1" x14ac:dyDescent="0.25">
      <c r="B10" s="5" t="s">
        <v>36</v>
      </c>
      <c r="D10" s="3"/>
      <c r="F10" s="3"/>
      <c r="H10" s="6" t="str">
        <f>IFERROR(IF(AND(ISNUMBER(D10),ISNUMBER(F10),D10&gt;0),F10/D10,"—"),"—")</f>
        <v>—</v>
      </c>
      <c r="I10" s="7" t="s">
        <v>13</v>
      </c>
    </row>
    <row r="11" spans="1:9" ht="18.75" customHeight="1" x14ac:dyDescent="0.25">
      <c r="B11" s="5" t="s">
        <v>37</v>
      </c>
      <c r="D11" s="3"/>
      <c r="F11" s="3"/>
      <c r="H11" s="6" t="str">
        <f>IFERROR(IF(AND(ISNUMBER(D11),ISNUMBER(F11),D11&gt;0),F11/D11,"—"),"—")</f>
        <v>—</v>
      </c>
      <c r="I11" s="7" t="s">
        <v>15</v>
      </c>
    </row>
    <row r="12" spans="1:9" ht="6" customHeight="1" x14ac:dyDescent="0.25"/>
    <row r="13" spans="1:9" ht="19.5" customHeight="1" x14ac:dyDescent="0.25">
      <c r="A13" s="31" t="s">
        <v>38</v>
      </c>
      <c r="B13" s="31"/>
      <c r="C13" s="31"/>
      <c r="D13" s="31"/>
      <c r="E13" s="31"/>
      <c r="F13" s="31"/>
      <c r="G13" s="31"/>
      <c r="H13" s="31"/>
      <c r="I13" s="31"/>
    </row>
    <row r="14" spans="1:9" ht="18" customHeight="1" x14ac:dyDescent="0.25">
      <c r="B14" s="4" t="s">
        <v>5</v>
      </c>
      <c r="D14" s="4" t="s">
        <v>6</v>
      </c>
      <c r="F14" s="4" t="s">
        <v>7</v>
      </c>
      <c r="H14" s="4" t="s">
        <v>8</v>
      </c>
      <c r="I14" s="4" t="s">
        <v>9</v>
      </c>
    </row>
    <row r="15" spans="1:9" ht="18.75" customHeight="1" x14ac:dyDescent="0.25">
      <c r="B15" s="5" t="s">
        <v>39</v>
      </c>
      <c r="D15" s="3"/>
      <c r="F15" s="3"/>
      <c r="H15" s="6" t="str">
        <f t="shared" ref="H15:H20" si="0">IFERROR(IF(AND(ISNUMBER(D15),ISNUMBER(F15),D15&gt;0),F15/D15,"—"),"—")</f>
        <v>—</v>
      </c>
      <c r="I15" s="7" t="s">
        <v>18</v>
      </c>
    </row>
    <row r="16" spans="1:9" ht="18.75" customHeight="1" x14ac:dyDescent="0.25">
      <c r="B16" s="5" t="s">
        <v>19</v>
      </c>
      <c r="D16" s="3"/>
      <c r="F16" s="3"/>
      <c r="H16" s="6" t="str">
        <f t="shared" si="0"/>
        <v>—</v>
      </c>
      <c r="I16" s="7" t="s">
        <v>18</v>
      </c>
    </row>
    <row r="17" spans="1:9" ht="18.75" customHeight="1" x14ac:dyDescent="0.25">
      <c r="B17" s="5" t="s">
        <v>40</v>
      </c>
      <c r="D17" s="8">
        <f>IFERROR(D15-D16,"—")</f>
        <v>0</v>
      </c>
      <c r="F17" s="8">
        <f>IFERROR(F15-F16,"—")</f>
        <v>0</v>
      </c>
      <c r="H17" s="6" t="str">
        <f t="shared" si="0"/>
        <v>—</v>
      </c>
      <c r="I17" s="7" t="s">
        <v>18</v>
      </c>
    </row>
    <row r="18" spans="1:9" ht="18.75" customHeight="1" x14ac:dyDescent="0.25">
      <c r="B18" s="5" t="s">
        <v>21</v>
      </c>
      <c r="D18" s="9" t="str">
        <f>IFERROR(D17/D15,"—")</f>
        <v>—</v>
      </c>
      <c r="F18" s="9" t="str">
        <f>IFERROR(F17/F15,"—")</f>
        <v>—</v>
      </c>
      <c r="H18" s="6" t="str">
        <f t="shared" si="0"/>
        <v>—</v>
      </c>
      <c r="I18" s="7" t="s">
        <v>8</v>
      </c>
    </row>
    <row r="19" spans="1:9" ht="18.75" customHeight="1" x14ac:dyDescent="0.25">
      <c r="B19" s="5" t="s">
        <v>41</v>
      </c>
      <c r="D19" s="8" t="str">
        <f>IFERROR(D15/D11,"—")</f>
        <v>—</v>
      </c>
      <c r="F19" s="8" t="str">
        <f>IFERROR(F15/F11,"—")</f>
        <v>—</v>
      </c>
      <c r="H19" s="6" t="str">
        <f t="shared" si="0"/>
        <v>—</v>
      </c>
      <c r="I19" s="7" t="s">
        <v>18</v>
      </c>
    </row>
    <row r="20" spans="1:9" ht="18.75" customHeight="1" x14ac:dyDescent="0.25">
      <c r="B20" s="5" t="s">
        <v>23</v>
      </c>
      <c r="D20" s="3"/>
      <c r="F20" s="3"/>
      <c r="H20" s="6" t="str">
        <f t="shared" si="0"/>
        <v>—</v>
      </c>
      <c r="I20" s="7" t="s">
        <v>8</v>
      </c>
    </row>
    <row r="21" spans="1:9" ht="6" customHeight="1" x14ac:dyDescent="0.25"/>
    <row r="22" spans="1:9" ht="19.5" customHeight="1" x14ac:dyDescent="0.25">
      <c r="A22" s="31" t="s">
        <v>42</v>
      </c>
      <c r="B22" s="31"/>
      <c r="C22" s="31"/>
      <c r="D22" s="31"/>
      <c r="E22" s="31"/>
      <c r="F22" s="31"/>
      <c r="G22" s="31"/>
      <c r="H22" s="31"/>
      <c r="I22" s="31"/>
    </row>
    <row r="23" spans="1:9" ht="18" customHeight="1" x14ac:dyDescent="0.25">
      <c r="B23" s="4" t="s">
        <v>43</v>
      </c>
      <c r="D23" s="4" t="s">
        <v>44</v>
      </c>
      <c r="F23" s="4" t="s">
        <v>45</v>
      </c>
      <c r="H23" s="4" t="s">
        <v>46</v>
      </c>
      <c r="I23" s="4" t="s">
        <v>47</v>
      </c>
    </row>
    <row r="24" spans="1:9" ht="16.5" customHeight="1" x14ac:dyDescent="0.25">
      <c r="B24" s="5" t="s">
        <v>48</v>
      </c>
      <c r="D24" s="3"/>
      <c r="F24" s="3"/>
      <c r="H24" s="3"/>
      <c r="I24" s="8" t="str">
        <f t="shared" ref="I24:I31" si="1">IFERROR(D24/H24,"—")</f>
        <v>—</v>
      </c>
    </row>
    <row r="25" spans="1:9" ht="16.5" customHeight="1" x14ac:dyDescent="0.25">
      <c r="B25" s="5" t="s">
        <v>49</v>
      </c>
      <c r="D25" s="3"/>
      <c r="F25" s="3"/>
      <c r="H25" s="3"/>
      <c r="I25" s="8" t="str">
        <f t="shared" si="1"/>
        <v>—</v>
      </c>
    </row>
    <row r="26" spans="1:9" ht="16.5" customHeight="1" x14ac:dyDescent="0.25">
      <c r="B26" s="5" t="s">
        <v>50</v>
      </c>
      <c r="D26" s="3"/>
      <c r="F26" s="3"/>
      <c r="H26" s="3"/>
      <c r="I26" s="8" t="str">
        <f t="shared" si="1"/>
        <v>—</v>
      </c>
    </row>
    <row r="27" spans="1:9" ht="16.5" customHeight="1" x14ac:dyDescent="0.25">
      <c r="B27" s="5" t="s">
        <v>51</v>
      </c>
      <c r="D27" s="3"/>
      <c r="F27" s="3"/>
      <c r="H27" s="3"/>
      <c r="I27" s="8" t="str">
        <f t="shared" si="1"/>
        <v>—</v>
      </c>
    </row>
    <row r="28" spans="1:9" ht="16.5" customHeight="1" x14ac:dyDescent="0.25">
      <c r="B28" s="5" t="s">
        <v>52</v>
      </c>
      <c r="D28" s="3"/>
      <c r="F28" s="3"/>
      <c r="H28" s="3"/>
      <c r="I28" s="8" t="str">
        <f t="shared" si="1"/>
        <v>—</v>
      </c>
    </row>
    <row r="29" spans="1:9" ht="16.5" customHeight="1" x14ac:dyDescent="0.25">
      <c r="B29" s="5" t="s">
        <v>53</v>
      </c>
      <c r="D29" s="3"/>
      <c r="F29" s="3"/>
      <c r="H29" s="3"/>
      <c r="I29" s="8" t="str">
        <f t="shared" si="1"/>
        <v>—</v>
      </c>
    </row>
    <row r="30" spans="1:9" ht="16.5" customHeight="1" x14ac:dyDescent="0.25">
      <c r="B30" s="5" t="s">
        <v>54</v>
      </c>
      <c r="D30" s="3"/>
      <c r="F30" s="3"/>
      <c r="H30" s="3"/>
      <c r="I30" s="8" t="str">
        <f t="shared" si="1"/>
        <v>—</v>
      </c>
    </row>
    <row r="31" spans="1:9" ht="19.5" customHeight="1" x14ac:dyDescent="0.25">
      <c r="B31" s="10" t="s">
        <v>55</v>
      </c>
      <c r="D31" s="11">
        <f>SUM(D24:D30)</f>
        <v>0</v>
      </c>
      <c r="F31" s="11">
        <f>SUM(F24:F30)</f>
        <v>0</v>
      </c>
      <c r="H31" s="11">
        <f>SUM(H24:H30)</f>
        <v>0</v>
      </c>
      <c r="I31" s="11" t="str">
        <f t="shared" si="1"/>
        <v>—</v>
      </c>
    </row>
    <row r="32" spans="1:9" ht="6" customHeight="1" x14ac:dyDescent="0.25"/>
    <row r="33" spans="1:9" ht="19.5" customHeight="1" x14ac:dyDescent="0.25">
      <c r="A33" s="36" t="s">
        <v>56</v>
      </c>
      <c r="B33" s="36"/>
      <c r="C33" s="36"/>
      <c r="D33" s="36"/>
      <c r="E33" s="36"/>
      <c r="F33" s="36"/>
      <c r="G33" s="36"/>
      <c r="H33" s="36"/>
      <c r="I33" s="36"/>
    </row>
    <row r="34" spans="1:9" ht="18" customHeight="1" x14ac:dyDescent="0.25">
      <c r="B34" s="12" t="s">
        <v>57</v>
      </c>
      <c r="D34" s="37" t="s">
        <v>58</v>
      </c>
      <c r="E34" s="37"/>
      <c r="F34" s="37"/>
      <c r="G34" s="37"/>
      <c r="H34" s="37"/>
      <c r="I34" s="37"/>
    </row>
    <row r="35" spans="1:9" ht="25.5" customHeight="1" x14ac:dyDescent="0.25">
      <c r="B35" s="13" t="s">
        <v>59</v>
      </c>
      <c r="D35" s="35" t="s">
        <v>60</v>
      </c>
      <c r="E35" s="35"/>
      <c r="F35" s="35"/>
      <c r="G35" s="35"/>
      <c r="H35" s="35"/>
      <c r="I35" s="35"/>
    </row>
    <row r="36" spans="1:9" ht="25.5" customHeight="1" x14ac:dyDescent="0.25">
      <c r="B36" s="13" t="s">
        <v>61</v>
      </c>
      <c r="D36" s="35" t="s">
        <v>60</v>
      </c>
      <c r="E36" s="35"/>
      <c r="F36" s="35"/>
      <c r="G36" s="35"/>
      <c r="H36" s="35"/>
      <c r="I36" s="35"/>
    </row>
    <row r="37" spans="1:9" ht="25.5" customHeight="1" x14ac:dyDescent="0.25">
      <c r="B37" s="13" t="s">
        <v>62</v>
      </c>
      <c r="D37" s="35" t="s">
        <v>60</v>
      </c>
      <c r="E37" s="35"/>
      <c r="F37" s="35"/>
      <c r="G37" s="35"/>
      <c r="H37" s="35"/>
      <c r="I37" s="35"/>
    </row>
    <row r="38" spans="1:9" ht="25.5" customHeight="1" x14ac:dyDescent="0.25">
      <c r="B38" s="13" t="s">
        <v>63</v>
      </c>
      <c r="D38" s="35" t="s">
        <v>60</v>
      </c>
      <c r="E38" s="35"/>
      <c r="F38" s="35"/>
      <c r="G38" s="35"/>
      <c r="H38" s="35"/>
      <c r="I38" s="35"/>
    </row>
    <row r="39" spans="1:9" ht="25.5" customHeight="1" x14ac:dyDescent="0.25">
      <c r="B39" s="13" t="s">
        <v>64</v>
      </c>
      <c r="D39" s="35" t="s">
        <v>60</v>
      </c>
      <c r="E39" s="35"/>
      <c r="F39" s="35"/>
      <c r="G39" s="35"/>
      <c r="H39" s="35"/>
      <c r="I39" s="35"/>
    </row>
    <row r="40" spans="1:9" ht="25.5" customHeight="1" x14ac:dyDescent="0.25">
      <c r="B40" s="13" t="s">
        <v>65</v>
      </c>
      <c r="D40" s="35" t="s">
        <v>60</v>
      </c>
      <c r="E40" s="35"/>
      <c r="F40" s="35"/>
      <c r="G40" s="35"/>
      <c r="H40" s="35"/>
      <c r="I40" s="35"/>
    </row>
    <row r="41" spans="1:9" ht="7.5" customHeight="1" x14ac:dyDescent="0.25"/>
    <row r="42" spans="1:9" ht="15.75" customHeight="1" x14ac:dyDescent="0.25">
      <c r="A42" s="30" t="s">
        <v>66</v>
      </c>
      <c r="B42" s="30"/>
      <c r="C42" s="30"/>
      <c r="D42" s="30"/>
      <c r="E42" s="30"/>
      <c r="F42" s="30"/>
      <c r="G42" s="30"/>
      <c r="H42" s="30"/>
      <c r="I42" s="30"/>
    </row>
  </sheetData>
  <mergeCells count="17">
    <mergeCell ref="A1:I1"/>
    <mergeCell ref="A2:I2"/>
    <mergeCell ref="D3:I3"/>
    <mergeCell ref="D4:I4"/>
    <mergeCell ref="D5:I5"/>
    <mergeCell ref="A7:I7"/>
    <mergeCell ref="A13:I13"/>
    <mergeCell ref="A22:I22"/>
    <mergeCell ref="A33:I33"/>
    <mergeCell ref="D34:I34"/>
    <mergeCell ref="D40:I40"/>
    <mergeCell ref="A42:I42"/>
    <mergeCell ref="D35:I35"/>
    <mergeCell ref="D36:I36"/>
    <mergeCell ref="D37:I37"/>
    <mergeCell ref="D38:I38"/>
    <mergeCell ref="D39:I39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6"/>
  <sheetViews>
    <sheetView showGridLines="0" zoomScaleNormal="100" workbookViewId="0">
      <selection sqref="A1:I1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38" t="s">
        <v>67</v>
      </c>
      <c r="B1" s="38"/>
      <c r="C1" s="38"/>
      <c r="D1" s="38"/>
      <c r="E1" s="38"/>
      <c r="F1" s="38"/>
      <c r="G1" s="38"/>
      <c r="H1" s="38"/>
      <c r="I1" s="38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</v>
      </c>
      <c r="D4" s="28"/>
      <c r="E4" s="28"/>
      <c r="F4" s="28"/>
      <c r="G4" s="28"/>
      <c r="H4" s="28"/>
      <c r="I4" s="28"/>
    </row>
    <row r="5" spans="1:9" ht="6" customHeight="1" x14ac:dyDescent="0.25"/>
    <row r="6" spans="1:9" ht="19.5" customHeight="1" x14ac:dyDescent="0.25">
      <c r="A6" s="31" t="s">
        <v>4</v>
      </c>
      <c r="B6" s="31"/>
      <c r="C6" s="31"/>
      <c r="D6" s="31"/>
      <c r="E6" s="31"/>
      <c r="F6" s="31"/>
      <c r="G6" s="31"/>
      <c r="H6" s="31"/>
      <c r="I6" s="31"/>
    </row>
    <row r="7" spans="1:9" ht="18" customHeight="1" x14ac:dyDescent="0.25">
      <c r="B7" s="4" t="s">
        <v>5</v>
      </c>
      <c r="D7" s="4" t="s">
        <v>6</v>
      </c>
      <c r="F7" s="4" t="s">
        <v>7</v>
      </c>
      <c r="H7" s="4" t="s">
        <v>8</v>
      </c>
      <c r="I7" s="4" t="s">
        <v>9</v>
      </c>
    </row>
    <row r="8" spans="1:9" ht="18.75" customHeight="1" x14ac:dyDescent="0.25">
      <c r="B8" s="5" t="s">
        <v>10</v>
      </c>
      <c r="D8" s="3"/>
      <c r="F8" s="3"/>
      <c r="H8" s="6" t="str">
        <f>IFERROR(IF(AND(ISNUMBER(D8),ISNUMBER(F8),D8&gt;0),F8/D8,"—"),"—")</f>
        <v>—</v>
      </c>
      <c r="I8" s="7" t="s">
        <v>11</v>
      </c>
    </row>
    <row r="9" spans="1:9" ht="18.75" customHeight="1" x14ac:dyDescent="0.25">
      <c r="B9" s="5" t="s">
        <v>12</v>
      </c>
      <c r="D9" s="3"/>
      <c r="F9" s="3"/>
      <c r="H9" s="6" t="str">
        <f>IFERROR(IF(AND(ISNUMBER(D9),ISNUMBER(F9),D9&gt;0),F9/D9,"—"),"—")</f>
        <v>—</v>
      </c>
      <c r="I9" s="7" t="s">
        <v>13</v>
      </c>
    </row>
    <row r="10" spans="1:9" ht="18.75" customHeight="1" x14ac:dyDescent="0.25">
      <c r="B10" s="5" t="s">
        <v>14</v>
      </c>
      <c r="D10" s="3"/>
      <c r="F10" s="3"/>
      <c r="H10" s="6" t="str">
        <f>IFERROR(IF(AND(ISNUMBER(D10),ISNUMBER(F10),D10&gt;0),F10/D10,"—"),"—")</f>
        <v>—</v>
      </c>
      <c r="I10" s="7" t="s">
        <v>15</v>
      </c>
    </row>
    <row r="11" spans="1:9" ht="6" customHeight="1" x14ac:dyDescent="0.25"/>
    <row r="12" spans="1:9" ht="19.5" customHeight="1" x14ac:dyDescent="0.25">
      <c r="A12" s="31" t="s">
        <v>16</v>
      </c>
      <c r="B12" s="31"/>
      <c r="C12" s="31"/>
      <c r="D12" s="31"/>
      <c r="E12" s="31"/>
      <c r="F12" s="31"/>
      <c r="G12" s="31"/>
      <c r="H12" s="31"/>
      <c r="I12" s="31"/>
    </row>
    <row r="13" spans="1:9" ht="18" customHeight="1" x14ac:dyDescent="0.25">
      <c r="B13" s="4" t="s">
        <v>5</v>
      </c>
      <c r="D13" s="4" t="s">
        <v>6</v>
      </c>
      <c r="F13" s="4" t="s">
        <v>7</v>
      </c>
      <c r="H13" s="4" t="s">
        <v>8</v>
      </c>
      <c r="I13" s="4" t="s">
        <v>9</v>
      </c>
    </row>
    <row r="14" spans="1:9" ht="18.75" customHeight="1" x14ac:dyDescent="0.25">
      <c r="B14" s="5" t="s">
        <v>17</v>
      </c>
      <c r="D14" s="3"/>
      <c r="F14" s="3"/>
      <c r="H14" s="6" t="str">
        <f t="shared" ref="H14:H19" si="0">IFERROR(IF(AND(ISNUMBER(D14),ISNUMBER(F14),D14&gt;0),F14/D14,"—"),"—")</f>
        <v>—</v>
      </c>
      <c r="I14" s="7" t="s">
        <v>18</v>
      </c>
    </row>
    <row r="15" spans="1:9" ht="18.75" customHeight="1" x14ac:dyDescent="0.25">
      <c r="B15" s="5" t="s">
        <v>19</v>
      </c>
      <c r="D15" s="3"/>
      <c r="F15" s="3"/>
      <c r="H15" s="6" t="str">
        <f t="shared" si="0"/>
        <v>—</v>
      </c>
      <c r="I15" s="7" t="s">
        <v>18</v>
      </c>
    </row>
    <row r="16" spans="1:9" ht="18.75" customHeight="1" x14ac:dyDescent="0.25">
      <c r="B16" s="5" t="s">
        <v>20</v>
      </c>
      <c r="D16" s="8">
        <f>IFERROR(D14-D15,"—")</f>
        <v>0</v>
      </c>
      <c r="F16" s="8">
        <f>IFERROR(F14-F15,"—")</f>
        <v>0</v>
      </c>
      <c r="H16" s="6" t="str">
        <f t="shared" si="0"/>
        <v>—</v>
      </c>
      <c r="I16" s="7" t="s">
        <v>18</v>
      </c>
    </row>
    <row r="17" spans="1:9" ht="18.75" customHeight="1" x14ac:dyDescent="0.25">
      <c r="B17" s="5" t="s">
        <v>21</v>
      </c>
      <c r="D17" s="9" t="str">
        <f>IFERROR(D16/D14,"—")</f>
        <v>—</v>
      </c>
      <c r="F17" s="9" t="str">
        <f>IFERROR(F16/F14,"—")</f>
        <v>—</v>
      </c>
      <c r="H17" s="6" t="str">
        <f t="shared" si="0"/>
        <v>—</v>
      </c>
      <c r="I17" s="7" t="s">
        <v>8</v>
      </c>
    </row>
    <row r="18" spans="1:9" ht="18.75" customHeight="1" x14ac:dyDescent="0.25">
      <c r="B18" s="5" t="s">
        <v>22</v>
      </c>
      <c r="D18" s="8" t="str">
        <f>IFERROR(D14/D10,"—")</f>
        <v>—</v>
      </c>
      <c r="F18" s="8" t="str">
        <f>IFERROR(F14/F10,"—")</f>
        <v>—</v>
      </c>
      <c r="H18" s="6" t="str">
        <f t="shared" si="0"/>
        <v>—</v>
      </c>
      <c r="I18" s="7" t="s">
        <v>18</v>
      </c>
    </row>
    <row r="19" spans="1:9" ht="18.75" customHeight="1" x14ac:dyDescent="0.25">
      <c r="B19" s="5" t="s">
        <v>23</v>
      </c>
      <c r="D19" s="3"/>
      <c r="F19" s="3"/>
      <c r="H19" s="6" t="str">
        <f t="shared" si="0"/>
        <v>—</v>
      </c>
      <c r="I19" s="7" t="s">
        <v>8</v>
      </c>
    </row>
    <row r="20" spans="1:9" ht="6" customHeight="1" x14ac:dyDescent="0.25"/>
    <row r="21" spans="1:9" ht="19.5" customHeight="1" x14ac:dyDescent="0.25">
      <c r="A21" s="31" t="s">
        <v>24</v>
      </c>
      <c r="B21" s="31"/>
      <c r="C21" s="31"/>
      <c r="D21" s="31"/>
      <c r="E21" s="31"/>
      <c r="F21" s="31"/>
      <c r="G21" s="31"/>
      <c r="H21" s="31"/>
      <c r="I21" s="31"/>
    </row>
    <row r="22" spans="1:9" ht="18" customHeight="1" x14ac:dyDescent="0.25">
      <c r="B22" s="4" t="s">
        <v>5</v>
      </c>
      <c r="D22" s="32" t="s">
        <v>25</v>
      </c>
      <c r="E22" s="32"/>
      <c r="F22" s="32"/>
      <c r="H22" s="32" t="s">
        <v>26</v>
      </c>
      <c r="I22" s="32"/>
    </row>
    <row r="23" spans="1:9" ht="18.75" customHeight="1" x14ac:dyDescent="0.25">
      <c r="B23" s="5" t="s">
        <v>27</v>
      </c>
      <c r="D23" s="28"/>
      <c r="E23" s="28"/>
      <c r="F23" s="28"/>
      <c r="H23" s="29" t="s">
        <v>28</v>
      </c>
      <c r="I23" s="29"/>
    </row>
    <row r="24" spans="1:9" ht="18.75" customHeight="1" x14ac:dyDescent="0.25">
      <c r="B24" s="5" t="s">
        <v>29</v>
      </c>
      <c r="D24" s="28"/>
      <c r="E24" s="28"/>
      <c r="F24" s="28"/>
      <c r="H24" s="29" t="s">
        <v>28</v>
      </c>
      <c r="I24" s="29"/>
    </row>
    <row r="25" spans="1:9" ht="7.5" customHeight="1" x14ac:dyDescent="0.25"/>
    <row r="26" spans="1:9" ht="15.75" customHeight="1" x14ac:dyDescent="0.25">
      <c r="A26" s="30" t="s">
        <v>30</v>
      </c>
      <c r="B26" s="30"/>
      <c r="C26" s="30"/>
      <c r="D26" s="30"/>
      <c r="E26" s="30"/>
      <c r="F26" s="30"/>
      <c r="G26" s="30"/>
      <c r="H26" s="30"/>
      <c r="I26" s="30"/>
    </row>
  </sheetData>
  <mergeCells count="14">
    <mergeCell ref="A1:I1"/>
    <mergeCell ref="A2:I2"/>
    <mergeCell ref="D3:I3"/>
    <mergeCell ref="D4:I4"/>
    <mergeCell ref="A6:I6"/>
    <mergeCell ref="D24:F24"/>
    <mergeCell ref="H24:I24"/>
    <mergeCell ref="A26:I26"/>
    <mergeCell ref="A12:I12"/>
    <mergeCell ref="A21:I21"/>
    <mergeCell ref="D22:F22"/>
    <mergeCell ref="H22:I22"/>
    <mergeCell ref="D23:F23"/>
    <mergeCell ref="H23:I23"/>
  </mergeCell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42"/>
  <sheetViews>
    <sheetView showGridLines="0" topLeftCell="A13" zoomScaleNormal="100" workbookViewId="0">
      <selection sqref="A1:I1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38" t="s">
        <v>68</v>
      </c>
      <c r="B1" s="38"/>
      <c r="C1" s="38"/>
      <c r="D1" s="38"/>
      <c r="E1" s="38"/>
      <c r="F1" s="38"/>
      <c r="G1" s="38"/>
      <c r="H1" s="38"/>
      <c r="I1" s="38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32</v>
      </c>
      <c r="D4" s="28"/>
      <c r="E4" s="28"/>
      <c r="F4" s="28"/>
      <c r="G4" s="28"/>
      <c r="H4" s="28"/>
      <c r="I4" s="28"/>
    </row>
    <row r="5" spans="1:9" ht="16.5" customHeight="1" x14ac:dyDescent="0.25">
      <c r="B5" s="2" t="s">
        <v>33</v>
      </c>
      <c r="D5" s="28"/>
      <c r="E5" s="28"/>
      <c r="F5" s="28"/>
      <c r="G5" s="28"/>
      <c r="H5" s="28"/>
      <c r="I5" s="28"/>
    </row>
    <row r="6" spans="1:9" ht="6" customHeight="1" x14ac:dyDescent="0.25"/>
    <row r="7" spans="1:9" ht="19.5" customHeight="1" x14ac:dyDescent="0.25">
      <c r="A7" s="31" t="s">
        <v>34</v>
      </c>
      <c r="B7" s="31"/>
      <c r="C7" s="31"/>
      <c r="D7" s="31"/>
      <c r="E7" s="31"/>
      <c r="F7" s="31"/>
      <c r="G7" s="31"/>
      <c r="H7" s="31"/>
      <c r="I7" s="31"/>
    </row>
    <row r="8" spans="1:9" ht="18" customHeight="1" x14ac:dyDescent="0.25">
      <c r="B8" s="4" t="s">
        <v>5</v>
      </c>
      <c r="D8" s="4" t="s">
        <v>6</v>
      </c>
      <c r="F8" s="4" t="s">
        <v>7</v>
      </c>
      <c r="H8" s="4" t="s">
        <v>8</v>
      </c>
      <c r="I8" s="4" t="s">
        <v>9</v>
      </c>
    </row>
    <row r="9" spans="1:9" ht="18.75" customHeight="1" x14ac:dyDescent="0.25">
      <c r="B9" s="5" t="s">
        <v>35</v>
      </c>
      <c r="D9" s="3"/>
      <c r="F9" s="3"/>
      <c r="H9" s="6" t="str">
        <f>IFERROR(IF(AND(ISNUMBER(D9),ISNUMBER(F9),D9&gt;0),F9/D9,"—"),"—")</f>
        <v>—</v>
      </c>
      <c r="I9" s="7" t="s">
        <v>11</v>
      </c>
    </row>
    <row r="10" spans="1:9" ht="18.75" customHeight="1" x14ac:dyDescent="0.25">
      <c r="B10" s="5" t="s">
        <v>36</v>
      </c>
      <c r="D10" s="3"/>
      <c r="F10" s="3"/>
      <c r="H10" s="6" t="str">
        <f>IFERROR(IF(AND(ISNUMBER(D10),ISNUMBER(F10),D10&gt;0),F10/D10,"—"),"—")</f>
        <v>—</v>
      </c>
      <c r="I10" s="7" t="s">
        <v>13</v>
      </c>
    </row>
    <row r="11" spans="1:9" ht="18.75" customHeight="1" x14ac:dyDescent="0.25">
      <c r="B11" s="5" t="s">
        <v>37</v>
      </c>
      <c r="D11" s="3"/>
      <c r="F11" s="3"/>
      <c r="H11" s="6" t="str">
        <f>IFERROR(IF(AND(ISNUMBER(D11),ISNUMBER(F11),D11&gt;0),F11/D11,"—"),"—")</f>
        <v>—</v>
      </c>
      <c r="I11" s="7" t="s">
        <v>15</v>
      </c>
    </row>
    <row r="12" spans="1:9" ht="6" customHeight="1" x14ac:dyDescent="0.25"/>
    <row r="13" spans="1:9" ht="19.5" customHeight="1" x14ac:dyDescent="0.25">
      <c r="A13" s="31" t="s">
        <v>38</v>
      </c>
      <c r="B13" s="31"/>
      <c r="C13" s="31"/>
      <c r="D13" s="31"/>
      <c r="E13" s="31"/>
      <c r="F13" s="31"/>
      <c r="G13" s="31"/>
      <c r="H13" s="31"/>
      <c r="I13" s="31"/>
    </row>
    <row r="14" spans="1:9" ht="18" customHeight="1" x14ac:dyDescent="0.25">
      <c r="B14" s="4" t="s">
        <v>5</v>
      </c>
      <c r="D14" s="4" t="s">
        <v>6</v>
      </c>
      <c r="F14" s="4" t="s">
        <v>7</v>
      </c>
      <c r="H14" s="4" t="s">
        <v>8</v>
      </c>
      <c r="I14" s="4" t="s">
        <v>9</v>
      </c>
    </row>
    <row r="15" spans="1:9" ht="18.75" customHeight="1" x14ac:dyDescent="0.25">
      <c r="B15" s="5" t="s">
        <v>39</v>
      </c>
      <c r="D15" s="3"/>
      <c r="F15" s="3"/>
      <c r="H15" s="6" t="str">
        <f t="shared" ref="H15:H20" si="0">IFERROR(IF(AND(ISNUMBER(D15),ISNUMBER(F15),D15&gt;0),F15/D15,"—"),"—")</f>
        <v>—</v>
      </c>
      <c r="I15" s="7" t="s">
        <v>18</v>
      </c>
    </row>
    <row r="16" spans="1:9" ht="18.75" customHeight="1" x14ac:dyDescent="0.25">
      <c r="B16" s="5" t="s">
        <v>19</v>
      </c>
      <c r="D16" s="3"/>
      <c r="F16" s="3"/>
      <c r="H16" s="6" t="str">
        <f t="shared" si="0"/>
        <v>—</v>
      </c>
      <c r="I16" s="7" t="s">
        <v>18</v>
      </c>
    </row>
    <row r="17" spans="1:9" ht="18.75" customHeight="1" x14ac:dyDescent="0.25">
      <c r="B17" s="5" t="s">
        <v>40</v>
      </c>
      <c r="D17" s="8">
        <f>IFERROR(D15-D16,"—")</f>
        <v>0</v>
      </c>
      <c r="F17" s="8">
        <f>IFERROR(F15-F16,"—")</f>
        <v>0</v>
      </c>
      <c r="H17" s="6" t="str">
        <f t="shared" si="0"/>
        <v>—</v>
      </c>
      <c r="I17" s="7" t="s">
        <v>18</v>
      </c>
    </row>
    <row r="18" spans="1:9" ht="18.75" customHeight="1" x14ac:dyDescent="0.25">
      <c r="B18" s="5" t="s">
        <v>21</v>
      </c>
      <c r="D18" s="9" t="str">
        <f>IFERROR(D17/D15,"—")</f>
        <v>—</v>
      </c>
      <c r="F18" s="9" t="str">
        <f>IFERROR(F17/F15,"—")</f>
        <v>—</v>
      </c>
      <c r="H18" s="6" t="str">
        <f t="shared" si="0"/>
        <v>—</v>
      </c>
      <c r="I18" s="7" t="s">
        <v>8</v>
      </c>
    </row>
    <row r="19" spans="1:9" ht="18.75" customHeight="1" x14ac:dyDescent="0.25">
      <c r="B19" s="5" t="s">
        <v>41</v>
      </c>
      <c r="D19" s="8" t="str">
        <f>IFERROR(D15/D11,"—")</f>
        <v>—</v>
      </c>
      <c r="F19" s="8" t="str">
        <f>IFERROR(F15/F11,"—")</f>
        <v>—</v>
      </c>
      <c r="H19" s="6" t="str">
        <f t="shared" si="0"/>
        <v>—</v>
      </c>
      <c r="I19" s="7" t="s">
        <v>18</v>
      </c>
    </row>
    <row r="20" spans="1:9" ht="18.75" customHeight="1" x14ac:dyDescent="0.25">
      <c r="B20" s="5" t="s">
        <v>23</v>
      </c>
      <c r="D20" s="3"/>
      <c r="F20" s="3"/>
      <c r="H20" s="6" t="str">
        <f t="shared" si="0"/>
        <v>—</v>
      </c>
      <c r="I20" s="7" t="s">
        <v>8</v>
      </c>
    </row>
    <row r="21" spans="1:9" ht="6" customHeight="1" x14ac:dyDescent="0.25"/>
    <row r="22" spans="1:9" ht="19.5" customHeight="1" x14ac:dyDescent="0.25">
      <c r="A22" s="31" t="s">
        <v>42</v>
      </c>
      <c r="B22" s="31"/>
      <c r="C22" s="31"/>
      <c r="D22" s="31"/>
      <c r="E22" s="31"/>
      <c r="F22" s="31"/>
      <c r="G22" s="31"/>
      <c r="H22" s="31"/>
      <c r="I22" s="31"/>
    </row>
    <row r="23" spans="1:9" ht="18" customHeight="1" x14ac:dyDescent="0.25">
      <c r="B23" s="4" t="s">
        <v>43</v>
      </c>
      <c r="D23" s="4" t="s">
        <v>44</v>
      </c>
      <c r="F23" s="4" t="s">
        <v>45</v>
      </c>
      <c r="H23" s="4" t="s">
        <v>46</v>
      </c>
      <c r="I23" s="4" t="s">
        <v>47</v>
      </c>
    </row>
    <row r="24" spans="1:9" ht="16.5" customHeight="1" x14ac:dyDescent="0.25">
      <c r="B24" s="5" t="s">
        <v>48</v>
      </c>
      <c r="D24" s="3"/>
      <c r="F24" s="3"/>
      <c r="H24" s="3"/>
      <c r="I24" s="8" t="str">
        <f t="shared" ref="I24:I31" si="1">IFERROR(D24/H24,"—")</f>
        <v>—</v>
      </c>
    </row>
    <row r="25" spans="1:9" ht="16.5" customHeight="1" x14ac:dyDescent="0.25">
      <c r="B25" s="5" t="s">
        <v>49</v>
      </c>
      <c r="D25" s="3"/>
      <c r="F25" s="3"/>
      <c r="H25" s="3"/>
      <c r="I25" s="8" t="str">
        <f t="shared" si="1"/>
        <v>—</v>
      </c>
    </row>
    <row r="26" spans="1:9" ht="16.5" customHeight="1" x14ac:dyDescent="0.25">
      <c r="B26" s="5" t="s">
        <v>50</v>
      </c>
      <c r="D26" s="3"/>
      <c r="F26" s="3"/>
      <c r="H26" s="3"/>
      <c r="I26" s="8" t="str">
        <f t="shared" si="1"/>
        <v>—</v>
      </c>
    </row>
    <row r="27" spans="1:9" ht="16.5" customHeight="1" x14ac:dyDescent="0.25">
      <c r="B27" s="5" t="s">
        <v>51</v>
      </c>
      <c r="D27" s="3"/>
      <c r="F27" s="3"/>
      <c r="H27" s="3"/>
      <c r="I27" s="8" t="str">
        <f t="shared" si="1"/>
        <v>—</v>
      </c>
    </row>
    <row r="28" spans="1:9" ht="16.5" customHeight="1" x14ac:dyDescent="0.25">
      <c r="B28" s="5" t="s">
        <v>52</v>
      </c>
      <c r="D28" s="3"/>
      <c r="F28" s="3"/>
      <c r="H28" s="3"/>
      <c r="I28" s="8" t="str">
        <f t="shared" si="1"/>
        <v>—</v>
      </c>
    </row>
    <row r="29" spans="1:9" ht="16.5" customHeight="1" x14ac:dyDescent="0.25">
      <c r="B29" s="5" t="s">
        <v>53</v>
      </c>
      <c r="D29" s="3"/>
      <c r="F29" s="3"/>
      <c r="H29" s="3"/>
      <c r="I29" s="8" t="str">
        <f t="shared" si="1"/>
        <v>—</v>
      </c>
    </row>
    <row r="30" spans="1:9" ht="16.5" customHeight="1" x14ac:dyDescent="0.25">
      <c r="B30" s="5" t="s">
        <v>54</v>
      </c>
      <c r="D30" s="3"/>
      <c r="F30" s="3"/>
      <c r="H30" s="3"/>
      <c r="I30" s="8" t="str">
        <f t="shared" si="1"/>
        <v>—</v>
      </c>
    </row>
    <row r="31" spans="1:9" ht="19.5" customHeight="1" x14ac:dyDescent="0.25">
      <c r="B31" s="10" t="s">
        <v>55</v>
      </c>
      <c r="D31" s="11">
        <f>SUM(D24:D30)</f>
        <v>0</v>
      </c>
      <c r="F31" s="11">
        <f>SUM(F24:F30)</f>
        <v>0</v>
      </c>
      <c r="H31" s="11">
        <f>SUM(H24:H30)</f>
        <v>0</v>
      </c>
      <c r="I31" s="11" t="str">
        <f t="shared" si="1"/>
        <v>—</v>
      </c>
    </row>
    <row r="32" spans="1:9" ht="6" customHeight="1" x14ac:dyDescent="0.25"/>
    <row r="33" spans="1:9" ht="19.5" customHeight="1" x14ac:dyDescent="0.25">
      <c r="A33" s="36" t="s">
        <v>56</v>
      </c>
      <c r="B33" s="36"/>
      <c r="C33" s="36"/>
      <c r="D33" s="36"/>
      <c r="E33" s="36"/>
      <c r="F33" s="36"/>
      <c r="G33" s="36"/>
      <c r="H33" s="36"/>
      <c r="I33" s="36"/>
    </row>
    <row r="34" spans="1:9" ht="18" customHeight="1" x14ac:dyDescent="0.25">
      <c r="B34" s="12" t="s">
        <v>57</v>
      </c>
      <c r="D34" s="37" t="s">
        <v>58</v>
      </c>
      <c r="E34" s="37"/>
      <c r="F34" s="37"/>
      <c r="G34" s="37"/>
      <c r="H34" s="37"/>
      <c r="I34" s="37"/>
    </row>
    <row r="35" spans="1:9" ht="25.5" customHeight="1" x14ac:dyDescent="0.25">
      <c r="B35" s="13" t="s">
        <v>59</v>
      </c>
      <c r="D35" s="35" t="s">
        <v>60</v>
      </c>
      <c r="E35" s="35"/>
      <c r="F35" s="35"/>
      <c r="G35" s="35"/>
      <c r="H35" s="35"/>
      <c r="I35" s="35"/>
    </row>
    <row r="36" spans="1:9" ht="25.5" customHeight="1" x14ac:dyDescent="0.25">
      <c r="B36" s="13" t="s">
        <v>61</v>
      </c>
      <c r="D36" s="35" t="s">
        <v>60</v>
      </c>
      <c r="E36" s="35"/>
      <c r="F36" s="35"/>
      <c r="G36" s="35"/>
      <c r="H36" s="35"/>
      <c r="I36" s="35"/>
    </row>
    <row r="37" spans="1:9" ht="25.5" customHeight="1" x14ac:dyDescent="0.25">
      <c r="B37" s="13" t="s">
        <v>62</v>
      </c>
      <c r="D37" s="35" t="s">
        <v>60</v>
      </c>
      <c r="E37" s="35"/>
      <c r="F37" s="35"/>
      <c r="G37" s="35"/>
      <c r="H37" s="35"/>
      <c r="I37" s="35"/>
    </row>
    <row r="38" spans="1:9" ht="25.5" customHeight="1" x14ac:dyDescent="0.25">
      <c r="B38" s="13" t="s">
        <v>63</v>
      </c>
      <c r="D38" s="35" t="s">
        <v>60</v>
      </c>
      <c r="E38" s="35"/>
      <c r="F38" s="35"/>
      <c r="G38" s="35"/>
      <c r="H38" s="35"/>
      <c r="I38" s="35"/>
    </row>
    <row r="39" spans="1:9" ht="25.5" customHeight="1" x14ac:dyDescent="0.25">
      <c r="B39" s="13" t="s">
        <v>64</v>
      </c>
      <c r="D39" s="35" t="s">
        <v>60</v>
      </c>
      <c r="E39" s="35"/>
      <c r="F39" s="35"/>
      <c r="G39" s="35"/>
      <c r="H39" s="35"/>
      <c r="I39" s="35"/>
    </row>
    <row r="40" spans="1:9" ht="25.5" customHeight="1" x14ac:dyDescent="0.25">
      <c r="B40" s="13" t="s">
        <v>65</v>
      </c>
      <c r="D40" s="35" t="s">
        <v>60</v>
      </c>
      <c r="E40" s="35"/>
      <c r="F40" s="35"/>
      <c r="G40" s="35"/>
      <c r="H40" s="35"/>
      <c r="I40" s="35"/>
    </row>
    <row r="41" spans="1:9" ht="7.5" customHeight="1" x14ac:dyDescent="0.25"/>
    <row r="42" spans="1:9" ht="15.75" customHeight="1" x14ac:dyDescent="0.25">
      <c r="A42" s="30" t="s">
        <v>66</v>
      </c>
      <c r="B42" s="30"/>
      <c r="C42" s="30"/>
      <c r="D42" s="30"/>
      <c r="E42" s="30"/>
      <c r="F42" s="30"/>
      <c r="G42" s="30"/>
      <c r="H42" s="30"/>
      <c r="I42" s="30"/>
    </row>
  </sheetData>
  <mergeCells count="17">
    <mergeCell ref="A1:I1"/>
    <mergeCell ref="A2:I2"/>
    <mergeCell ref="D3:I3"/>
    <mergeCell ref="D4:I4"/>
    <mergeCell ref="D5:I5"/>
    <mergeCell ref="A7:I7"/>
    <mergeCell ref="A13:I13"/>
    <mergeCell ref="A22:I22"/>
    <mergeCell ref="A33:I33"/>
    <mergeCell ref="D34:I34"/>
    <mergeCell ref="D40:I40"/>
    <mergeCell ref="A42:I42"/>
    <mergeCell ref="D35:I35"/>
    <mergeCell ref="D36:I36"/>
    <mergeCell ref="D37:I37"/>
    <mergeCell ref="D38:I38"/>
    <mergeCell ref="D39:I39"/>
  </mergeCells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27"/>
  <sheetViews>
    <sheetView showGridLines="0" zoomScaleNormal="100" workbookViewId="0">
      <selection activeCell="J24" sqref="J24:J25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40" t="s">
        <v>69</v>
      </c>
      <c r="B1" s="40"/>
      <c r="C1" s="40"/>
      <c r="D1" s="40"/>
      <c r="E1" s="40"/>
      <c r="F1" s="40"/>
      <c r="G1" s="40"/>
      <c r="H1" s="40"/>
      <c r="I1" s="40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</v>
      </c>
      <c r="D4" s="28"/>
      <c r="E4" s="28"/>
      <c r="F4" s="28"/>
      <c r="G4" s="28"/>
      <c r="H4" s="28"/>
      <c r="I4" s="28"/>
    </row>
    <row r="5" spans="1:9" ht="6" customHeight="1" x14ac:dyDescent="0.25"/>
    <row r="6" spans="1:9" ht="19.5" customHeight="1" x14ac:dyDescent="0.25">
      <c r="A6" s="31" t="s">
        <v>70</v>
      </c>
      <c r="B6" s="31"/>
      <c r="C6" s="31"/>
      <c r="D6" s="31"/>
      <c r="E6" s="31"/>
      <c r="F6" s="31"/>
      <c r="G6" s="31"/>
      <c r="H6" s="31"/>
      <c r="I6" s="31"/>
    </row>
    <row r="7" spans="1:9" ht="18" customHeight="1" x14ac:dyDescent="0.25">
      <c r="B7" s="4" t="s">
        <v>5</v>
      </c>
      <c r="D7" s="4" t="s">
        <v>6</v>
      </c>
      <c r="F7" s="4" t="s">
        <v>7</v>
      </c>
      <c r="H7" s="4" t="s">
        <v>8</v>
      </c>
      <c r="I7" s="4" t="s">
        <v>9</v>
      </c>
    </row>
    <row r="8" spans="1:9" ht="23.25" customHeight="1" x14ac:dyDescent="0.25">
      <c r="B8" s="5" t="s">
        <v>71</v>
      </c>
      <c r="D8" s="3"/>
      <c r="F8" s="3"/>
      <c r="H8" s="6" t="str">
        <f>IFERROR(IF(AND(ISNUMBER(D8),ISNUMBER(F8),D8&gt;0),F8/D8,"—"),"—")</f>
        <v>—</v>
      </c>
      <c r="I8" s="7" t="s">
        <v>11</v>
      </c>
    </row>
    <row r="9" spans="1:9" ht="18.75" customHeight="1" x14ac:dyDescent="0.25">
      <c r="B9" s="5" t="s">
        <v>12</v>
      </c>
      <c r="D9" s="3"/>
      <c r="F9" s="3"/>
      <c r="H9" s="6" t="str">
        <f>IFERROR(IF(AND(ISNUMBER(D9),ISNUMBER(F9),D9&gt;0),F9/D9,"—"),"—")</f>
        <v>—</v>
      </c>
      <c r="I9" s="7" t="s">
        <v>13</v>
      </c>
    </row>
    <row r="10" spans="1:9" ht="6" customHeight="1" x14ac:dyDescent="0.25"/>
    <row r="11" spans="1:9" ht="19.5" customHeight="1" x14ac:dyDescent="0.25">
      <c r="A11" s="31" t="s">
        <v>73</v>
      </c>
      <c r="B11" s="31"/>
      <c r="C11" s="31"/>
      <c r="D11" s="31"/>
      <c r="E11" s="31"/>
      <c r="F11" s="31"/>
      <c r="G11" s="31"/>
      <c r="H11" s="31"/>
      <c r="I11" s="31"/>
    </row>
    <row r="12" spans="1:9" ht="18" customHeight="1" x14ac:dyDescent="0.25">
      <c r="B12" s="4" t="s">
        <v>5</v>
      </c>
      <c r="D12" s="32" t="s">
        <v>25</v>
      </c>
      <c r="E12" s="32"/>
      <c r="F12" s="32"/>
      <c r="H12" s="32" t="s">
        <v>26</v>
      </c>
      <c r="I12" s="32"/>
    </row>
    <row r="13" spans="1:9" ht="18.75" customHeight="1" x14ac:dyDescent="0.25">
      <c r="B13" s="5" t="s">
        <v>74</v>
      </c>
      <c r="D13" s="28"/>
      <c r="E13" s="28"/>
      <c r="F13" s="28"/>
      <c r="H13" s="39"/>
      <c r="I13" s="39"/>
    </row>
    <row r="14" spans="1:9" ht="18.75" customHeight="1" x14ac:dyDescent="0.25">
      <c r="B14" s="5" t="s">
        <v>75</v>
      </c>
      <c r="D14" s="28"/>
      <c r="E14" s="28"/>
      <c r="F14" s="28"/>
      <c r="H14" s="39"/>
      <c r="I14" s="39"/>
    </row>
    <row r="15" spans="1:9" ht="18.75" customHeight="1" x14ac:dyDescent="0.25">
      <c r="B15" s="5" t="s">
        <v>76</v>
      </c>
      <c r="D15" s="28"/>
      <c r="E15" s="28"/>
      <c r="F15" s="28"/>
      <c r="H15" s="29" t="s">
        <v>28</v>
      </c>
      <c r="I15" s="29"/>
    </row>
    <row r="16" spans="1:9" ht="23.25" customHeight="1" x14ac:dyDescent="0.25">
      <c r="B16" s="5" t="s">
        <v>77</v>
      </c>
      <c r="D16" s="28"/>
      <c r="E16" s="28"/>
      <c r="F16" s="28"/>
      <c r="H16" s="29" t="s">
        <v>28</v>
      </c>
      <c r="I16" s="29"/>
    </row>
    <row r="17" spans="1:9" ht="33.75" customHeight="1" x14ac:dyDescent="0.25">
      <c r="B17" s="5" t="s">
        <v>78</v>
      </c>
      <c r="D17" s="28"/>
      <c r="E17" s="28"/>
      <c r="F17" s="28"/>
      <c r="H17" s="39"/>
      <c r="I17" s="39"/>
    </row>
    <row r="18" spans="1:9" ht="6" customHeight="1" x14ac:dyDescent="0.25"/>
    <row r="19" spans="1:9" ht="19.5" customHeight="1" x14ac:dyDescent="0.25">
      <c r="A19" s="31" t="s">
        <v>79</v>
      </c>
      <c r="B19" s="31"/>
      <c r="C19" s="31"/>
      <c r="D19" s="31"/>
      <c r="E19" s="31"/>
      <c r="F19" s="31"/>
      <c r="G19" s="31"/>
      <c r="H19" s="31"/>
      <c r="I19" s="31"/>
    </row>
    <row r="20" spans="1:9" ht="18" customHeight="1" x14ac:dyDescent="0.25">
      <c r="B20" s="4" t="s">
        <v>5</v>
      </c>
      <c r="D20" s="4" t="s">
        <v>6</v>
      </c>
      <c r="F20" s="4" t="s">
        <v>7</v>
      </c>
      <c r="H20" s="4" t="s">
        <v>8</v>
      </c>
      <c r="I20" s="4" t="s">
        <v>9</v>
      </c>
    </row>
    <row r="21" spans="1:9" ht="18.75" customHeight="1" x14ac:dyDescent="0.25">
      <c r="B21" s="5" t="s">
        <v>80</v>
      </c>
      <c r="D21" s="3"/>
      <c r="F21" s="3"/>
      <c r="H21" s="6" t="str">
        <f>IFERROR(IF(AND(ISNUMBER(D21),ISNUMBER(F21),D21&gt;0),F21/D21,"—"),"—")</f>
        <v>—</v>
      </c>
      <c r="I21" s="7" t="s">
        <v>15</v>
      </c>
    </row>
    <row r="22" spans="1:9" ht="18.75" customHeight="1" x14ac:dyDescent="0.25">
      <c r="B22" s="5" t="s">
        <v>81</v>
      </c>
      <c r="D22" s="3"/>
      <c r="F22" s="3"/>
      <c r="H22" s="6" t="str">
        <f>IFERROR(IF(AND(ISNUMBER(D22),ISNUMBER(F22),D22&gt;0),F22/D22,"—"),"—")</f>
        <v>—</v>
      </c>
      <c r="I22" s="7" t="s">
        <v>18</v>
      </c>
    </row>
    <row r="23" spans="1:9" ht="18.75" customHeight="1" x14ac:dyDescent="0.25">
      <c r="B23" s="5" t="s">
        <v>82</v>
      </c>
      <c r="D23" s="3"/>
      <c r="F23" s="3"/>
      <c r="H23" s="6" t="str">
        <f>IFERROR(IF(AND(ISNUMBER(D23),ISNUMBER(F23),D23&gt;0),F23/D23,"—"),"—")</f>
        <v>—</v>
      </c>
      <c r="I23" s="7" t="s">
        <v>18</v>
      </c>
    </row>
    <row r="24" spans="1:9" ht="31.5" customHeight="1" x14ac:dyDescent="0.25">
      <c r="B24" s="5" t="s">
        <v>157</v>
      </c>
      <c r="D24" s="1">
        <v>0</v>
      </c>
      <c r="F24" s="3"/>
      <c r="H24" s="6" t="str">
        <f>IFERROR(IF(AND(ISNUMBER(D24),ISNUMBER(F24),D24&gt;0),F24/D24,"—"),"—")</f>
        <v>—</v>
      </c>
      <c r="I24" s="7" t="s">
        <v>15</v>
      </c>
    </row>
    <row r="25" spans="1:9" ht="39.75" customHeight="1" x14ac:dyDescent="0.25">
      <c r="B25" s="5" t="s">
        <v>158</v>
      </c>
      <c r="D25" s="1">
        <v>0</v>
      </c>
      <c r="F25" s="3"/>
      <c r="H25" s="6" t="str">
        <f>IFERROR(IF(AND(ISNUMBER(D25),ISNUMBER(F25),D25&gt;0),F25/D25,"—"),"—")</f>
        <v>—</v>
      </c>
      <c r="I25" s="7" t="s">
        <v>18</v>
      </c>
    </row>
    <row r="26" spans="1:9" ht="7.5" customHeight="1" x14ac:dyDescent="0.25"/>
    <row r="27" spans="1:9" ht="15.75" customHeight="1" x14ac:dyDescent="0.25">
      <c r="A27" s="30" t="s">
        <v>83</v>
      </c>
      <c r="B27" s="30"/>
      <c r="C27" s="30"/>
      <c r="D27" s="30"/>
      <c r="E27" s="30"/>
      <c r="F27" s="30"/>
      <c r="G27" s="30"/>
      <c r="H27" s="30"/>
      <c r="I27" s="30"/>
    </row>
  </sheetData>
  <mergeCells count="20">
    <mergeCell ref="A1:I1"/>
    <mergeCell ref="A2:I2"/>
    <mergeCell ref="D3:I3"/>
    <mergeCell ref="D4:I4"/>
    <mergeCell ref="A6:I6"/>
    <mergeCell ref="A11:I11"/>
    <mergeCell ref="D12:F12"/>
    <mergeCell ref="H12:I12"/>
    <mergeCell ref="D13:F13"/>
    <mergeCell ref="H13:I13"/>
    <mergeCell ref="D17:F17"/>
    <mergeCell ref="H17:I17"/>
    <mergeCell ref="A19:I19"/>
    <mergeCell ref="A27:I27"/>
    <mergeCell ref="D14:F14"/>
    <mergeCell ref="H14:I14"/>
    <mergeCell ref="D15:F15"/>
    <mergeCell ref="H15:I15"/>
    <mergeCell ref="D16:F16"/>
    <mergeCell ref="H16:I16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41"/>
  <sheetViews>
    <sheetView showGridLines="0" zoomScaleNormal="100" workbookViewId="0">
      <selection activeCell="K23" sqref="K23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40" t="s">
        <v>84</v>
      </c>
      <c r="B1" s="40"/>
      <c r="C1" s="40"/>
      <c r="D1" s="40"/>
      <c r="E1" s="40"/>
      <c r="F1" s="40"/>
      <c r="G1" s="40"/>
      <c r="H1" s="40"/>
      <c r="I1" s="40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32</v>
      </c>
      <c r="D4" s="28"/>
      <c r="E4" s="28"/>
      <c r="F4" s="28"/>
      <c r="G4" s="28"/>
      <c r="H4" s="28"/>
      <c r="I4" s="28"/>
    </row>
    <row r="5" spans="1:9" ht="16.5" customHeight="1" x14ac:dyDescent="0.25">
      <c r="B5" s="2" t="s">
        <v>33</v>
      </c>
      <c r="D5" s="28"/>
      <c r="E5" s="28"/>
      <c r="F5" s="28"/>
      <c r="G5" s="28"/>
      <c r="H5" s="28"/>
      <c r="I5" s="28"/>
    </row>
    <row r="6" spans="1:9" ht="6" customHeight="1" x14ac:dyDescent="0.25"/>
    <row r="7" spans="1:9" ht="19.5" customHeight="1" x14ac:dyDescent="0.25">
      <c r="A7" s="31" t="s">
        <v>85</v>
      </c>
      <c r="B7" s="31"/>
      <c r="C7" s="31"/>
      <c r="D7" s="31"/>
      <c r="E7" s="31"/>
      <c r="F7" s="31"/>
      <c r="G7" s="31"/>
      <c r="H7" s="31"/>
      <c r="I7" s="31"/>
    </row>
    <row r="8" spans="1:9" ht="18" customHeight="1" x14ac:dyDescent="0.25">
      <c r="B8" s="4" t="s">
        <v>5</v>
      </c>
      <c r="D8" s="4" t="s">
        <v>6</v>
      </c>
      <c r="F8" s="4" t="s">
        <v>7</v>
      </c>
      <c r="H8" s="4" t="s">
        <v>8</v>
      </c>
      <c r="I8" s="4" t="s">
        <v>9</v>
      </c>
    </row>
    <row r="9" spans="1:9" ht="18.75" customHeight="1" x14ac:dyDescent="0.25">
      <c r="B9" s="5" t="s">
        <v>86</v>
      </c>
      <c r="D9" s="3"/>
      <c r="F9" s="3"/>
      <c r="H9" s="6" t="str">
        <f>IFERROR(IF(AND(ISNUMBER(D9),ISNUMBER(F9),D9&gt;0),F9/D9,"—"),"—")</f>
        <v>—</v>
      </c>
      <c r="I9" s="7" t="s">
        <v>11</v>
      </c>
    </row>
    <row r="10" spans="1:9" ht="18.75" customHeight="1" x14ac:dyDescent="0.25">
      <c r="B10" s="5" t="s">
        <v>87</v>
      </c>
      <c r="D10" s="3"/>
      <c r="F10" s="3"/>
      <c r="H10" s="6" t="str">
        <f>IFERROR(IF(AND(ISNUMBER(D10),ISNUMBER(F10),D10&gt;0),F10/D10,"—"),"—")</f>
        <v>—</v>
      </c>
      <c r="I10" s="7" t="s">
        <v>13</v>
      </c>
    </row>
    <row r="11" spans="1:9" ht="6" customHeight="1" x14ac:dyDescent="0.25"/>
    <row r="12" spans="1:9" ht="19.5" customHeight="1" x14ac:dyDescent="0.25">
      <c r="A12" s="31" t="s">
        <v>88</v>
      </c>
      <c r="B12" s="31"/>
      <c r="C12" s="31"/>
      <c r="D12" s="31"/>
      <c r="E12" s="31"/>
      <c r="F12" s="31"/>
      <c r="G12" s="31"/>
      <c r="H12" s="31"/>
      <c r="I12" s="31"/>
    </row>
    <row r="13" spans="1:9" ht="18" customHeight="1" x14ac:dyDescent="0.25">
      <c r="B13" s="4" t="s">
        <v>5</v>
      </c>
      <c r="D13" s="32" t="s">
        <v>25</v>
      </c>
      <c r="E13" s="32"/>
      <c r="F13" s="32"/>
      <c r="H13" s="32" t="s">
        <v>89</v>
      </c>
      <c r="I13" s="32"/>
    </row>
    <row r="14" spans="1:9" ht="18.75" customHeight="1" x14ac:dyDescent="0.25">
      <c r="B14" s="5" t="s">
        <v>90</v>
      </c>
      <c r="D14" s="28"/>
      <c r="E14" s="28"/>
      <c r="F14" s="28"/>
      <c r="H14" s="28"/>
      <c r="I14" s="28"/>
    </row>
    <row r="15" spans="1:9" ht="18.75" customHeight="1" x14ac:dyDescent="0.25">
      <c r="B15" s="5" t="s">
        <v>37</v>
      </c>
      <c r="D15" s="28"/>
      <c r="E15" s="28"/>
      <c r="F15" s="28"/>
      <c r="H15" s="28"/>
      <c r="I15" s="28"/>
    </row>
    <row r="16" spans="1:9" ht="18.75" customHeight="1" x14ac:dyDescent="0.25">
      <c r="B16" s="5" t="s">
        <v>81</v>
      </c>
      <c r="D16" s="28"/>
      <c r="E16" s="28"/>
      <c r="F16" s="28"/>
      <c r="H16" s="28"/>
      <c r="I16" s="28"/>
    </row>
    <row r="17" spans="1:11" ht="18.75" customHeight="1" x14ac:dyDescent="0.25">
      <c r="B17" s="5" t="s">
        <v>91</v>
      </c>
      <c r="D17" s="28"/>
      <c r="E17" s="28"/>
      <c r="F17" s="28"/>
      <c r="H17" s="28"/>
      <c r="I17" s="28"/>
    </row>
    <row r="18" spans="1:11" ht="18.75" customHeight="1" x14ac:dyDescent="0.25">
      <c r="B18" s="5" t="s">
        <v>92</v>
      </c>
      <c r="D18" s="28"/>
      <c r="E18" s="28"/>
      <c r="F18" s="28"/>
      <c r="H18" s="28"/>
      <c r="I18" s="28"/>
    </row>
    <row r="19" spans="1:11" ht="18.75" customHeight="1" x14ac:dyDescent="0.25">
      <c r="B19" s="5" t="s">
        <v>93</v>
      </c>
      <c r="D19" s="28"/>
      <c r="E19" s="28"/>
      <c r="F19" s="28"/>
      <c r="H19" s="28"/>
      <c r="I19" s="28"/>
    </row>
    <row r="20" spans="1:11" ht="18.75" customHeight="1" x14ac:dyDescent="0.25">
      <c r="B20" s="5" t="s">
        <v>94</v>
      </c>
      <c r="D20" s="28"/>
      <c r="E20" s="28"/>
      <c r="F20" s="28"/>
      <c r="H20" s="28"/>
      <c r="I20" s="28"/>
    </row>
    <row r="21" spans="1:11" ht="18.75" customHeight="1" x14ac:dyDescent="0.25">
      <c r="B21" s="5" t="s">
        <v>95</v>
      </c>
      <c r="D21" s="28"/>
      <c r="E21" s="28"/>
      <c r="F21" s="28"/>
      <c r="H21" s="28"/>
      <c r="I21" s="28"/>
    </row>
    <row r="22" spans="1:11" ht="26.25" customHeight="1" x14ac:dyDescent="0.25">
      <c r="B22" s="5" t="s">
        <v>157</v>
      </c>
      <c r="D22" s="28"/>
      <c r="E22" s="28"/>
      <c r="F22" s="28"/>
      <c r="H22" s="28"/>
      <c r="I22" s="28"/>
    </row>
    <row r="23" spans="1:11" ht="26.25" customHeight="1" x14ac:dyDescent="0.25">
      <c r="B23" s="5" t="s">
        <v>158</v>
      </c>
      <c r="D23" s="28"/>
      <c r="E23" s="28"/>
      <c r="F23" s="28"/>
      <c r="H23" s="28"/>
      <c r="I23" s="28"/>
    </row>
    <row r="24" spans="1:11" ht="6" customHeight="1" x14ac:dyDescent="0.25"/>
    <row r="25" spans="1:11" ht="19.5" customHeight="1" x14ac:dyDescent="0.25">
      <c r="A25" s="31" t="s">
        <v>96</v>
      </c>
      <c r="B25" s="31"/>
      <c r="C25" s="31"/>
      <c r="D25" s="31"/>
      <c r="E25" s="31"/>
      <c r="F25" s="31"/>
      <c r="G25" s="31"/>
      <c r="H25" s="31"/>
      <c r="I25" s="31"/>
    </row>
    <row r="26" spans="1:11" ht="18" customHeight="1" x14ac:dyDescent="0.25">
      <c r="B26" s="4" t="s">
        <v>43</v>
      </c>
      <c r="D26" s="4" t="s">
        <v>45</v>
      </c>
      <c r="F26" s="4" t="s">
        <v>97</v>
      </c>
      <c r="H26" s="4" t="s">
        <v>98</v>
      </c>
      <c r="I26" s="4" t="s">
        <v>99</v>
      </c>
      <c r="K26" s="43"/>
    </row>
    <row r="27" spans="1:11" ht="16.5" customHeight="1" x14ac:dyDescent="0.25">
      <c r="B27" s="5" t="s">
        <v>48</v>
      </c>
      <c r="D27" s="3"/>
      <c r="F27" s="3"/>
      <c r="H27" s="14" t="str">
        <f t="shared" ref="H27:H33" si="0">IFERROR(D27/F27,"—")</f>
        <v>—</v>
      </c>
      <c r="I27" s="3"/>
    </row>
    <row r="28" spans="1:11" ht="16.5" customHeight="1" x14ac:dyDescent="0.25">
      <c r="B28" s="5" t="s">
        <v>49</v>
      </c>
      <c r="D28" s="3"/>
      <c r="F28" s="3"/>
      <c r="H28" s="14" t="str">
        <f t="shared" si="0"/>
        <v>—</v>
      </c>
      <c r="I28" s="3"/>
    </row>
    <row r="29" spans="1:11" ht="16.5" customHeight="1" x14ac:dyDescent="0.25">
      <c r="B29" s="5" t="s">
        <v>50</v>
      </c>
      <c r="D29" s="3"/>
      <c r="F29" s="3"/>
      <c r="H29" s="14" t="str">
        <f t="shared" si="0"/>
        <v>—</v>
      </c>
      <c r="I29" s="3"/>
    </row>
    <row r="30" spans="1:11" ht="16.5" customHeight="1" x14ac:dyDescent="0.25">
      <c r="B30" s="5" t="s">
        <v>51</v>
      </c>
      <c r="D30" s="3"/>
      <c r="F30" s="3"/>
      <c r="H30" s="14" t="str">
        <f t="shared" si="0"/>
        <v>—</v>
      </c>
      <c r="I30" s="3"/>
    </row>
    <row r="31" spans="1:11" ht="16.5" customHeight="1" x14ac:dyDescent="0.25">
      <c r="B31" s="5" t="s">
        <v>52</v>
      </c>
      <c r="D31" s="3"/>
      <c r="F31" s="3"/>
      <c r="H31" s="14" t="str">
        <f t="shared" si="0"/>
        <v>—</v>
      </c>
      <c r="I31" s="3"/>
    </row>
    <row r="32" spans="1:11" ht="16.5" customHeight="1" x14ac:dyDescent="0.25">
      <c r="B32" s="5" t="s">
        <v>53</v>
      </c>
      <c r="D32" s="3"/>
      <c r="F32" s="3"/>
      <c r="H32" s="14" t="str">
        <f t="shared" si="0"/>
        <v>—</v>
      </c>
      <c r="I32" s="3"/>
    </row>
    <row r="33" spans="1:9" ht="16.5" customHeight="1" x14ac:dyDescent="0.25">
      <c r="B33" s="5" t="s">
        <v>54</v>
      </c>
      <c r="D33" s="3"/>
      <c r="F33" s="3"/>
      <c r="H33" s="14" t="str">
        <f t="shared" si="0"/>
        <v>—</v>
      </c>
      <c r="I33" s="3"/>
    </row>
    <row r="34" spans="1:9" ht="19.5" customHeight="1" x14ac:dyDescent="0.25">
      <c r="B34" s="10" t="s">
        <v>55</v>
      </c>
      <c r="D34" s="11">
        <f>SUM(D27:D33)</f>
        <v>0</v>
      </c>
      <c r="F34" s="15"/>
      <c r="H34" s="15"/>
      <c r="I34" s="11">
        <f>SUM(I27:I33)</f>
        <v>0</v>
      </c>
    </row>
    <row r="35" spans="1:9" ht="6" customHeight="1" x14ac:dyDescent="0.25"/>
    <row r="36" spans="1:9" ht="19.5" customHeight="1" x14ac:dyDescent="0.25">
      <c r="A36" s="36" t="s">
        <v>56</v>
      </c>
      <c r="B36" s="36"/>
      <c r="C36" s="36"/>
      <c r="D36" s="36"/>
      <c r="E36" s="36"/>
      <c r="F36" s="36"/>
      <c r="G36" s="36"/>
      <c r="H36" s="36"/>
      <c r="I36" s="36"/>
    </row>
    <row r="37" spans="1:9" ht="18" customHeight="1" x14ac:dyDescent="0.25">
      <c r="B37" s="12" t="s">
        <v>57</v>
      </c>
      <c r="D37" s="37" t="s">
        <v>100</v>
      </c>
      <c r="E37" s="37"/>
      <c r="F37" s="37"/>
      <c r="G37" s="37"/>
      <c r="H37" s="37"/>
      <c r="I37" s="37"/>
    </row>
    <row r="38" spans="1:9" ht="25.5" customHeight="1" x14ac:dyDescent="0.25">
      <c r="B38" s="13" t="s">
        <v>64</v>
      </c>
      <c r="D38" s="35" t="s">
        <v>60</v>
      </c>
      <c r="E38" s="35"/>
      <c r="F38" s="35"/>
      <c r="G38" s="35"/>
      <c r="H38" s="35"/>
      <c r="I38" s="35"/>
    </row>
    <row r="39" spans="1:9" ht="25.5" customHeight="1" x14ac:dyDescent="0.25">
      <c r="B39" s="13" t="s">
        <v>65</v>
      </c>
      <c r="D39" s="35" t="s">
        <v>60</v>
      </c>
      <c r="E39" s="35"/>
      <c r="F39" s="35"/>
      <c r="G39" s="35"/>
      <c r="H39" s="35"/>
      <c r="I39" s="35"/>
    </row>
    <row r="40" spans="1:9" ht="7.5" customHeight="1" x14ac:dyDescent="0.25"/>
    <row r="41" spans="1:9" ht="15.75" customHeight="1" x14ac:dyDescent="0.25">
      <c r="A41" s="30" t="s">
        <v>101</v>
      </c>
      <c r="B41" s="30"/>
      <c r="C41" s="30"/>
      <c r="D41" s="30"/>
      <c r="E41" s="30"/>
      <c r="F41" s="30"/>
      <c r="G41" s="30"/>
      <c r="H41" s="30"/>
      <c r="I41" s="30"/>
    </row>
  </sheetData>
  <mergeCells count="35">
    <mergeCell ref="A1:I1"/>
    <mergeCell ref="A2:I2"/>
    <mergeCell ref="D3:I3"/>
    <mergeCell ref="D4:I4"/>
    <mergeCell ref="D5:I5"/>
    <mergeCell ref="A7:I7"/>
    <mergeCell ref="A12:I12"/>
    <mergeCell ref="D13:F13"/>
    <mergeCell ref="H13:I13"/>
    <mergeCell ref="D14:F14"/>
    <mergeCell ref="H14:I14"/>
    <mergeCell ref="D15:F15"/>
    <mergeCell ref="H15:I15"/>
    <mergeCell ref="D16:F16"/>
    <mergeCell ref="H16:I16"/>
    <mergeCell ref="D17:F17"/>
    <mergeCell ref="H17:I17"/>
    <mergeCell ref="D18:F18"/>
    <mergeCell ref="H18:I18"/>
    <mergeCell ref="D19:F19"/>
    <mergeCell ref="H19:I19"/>
    <mergeCell ref="D20:F20"/>
    <mergeCell ref="H20:I20"/>
    <mergeCell ref="D21:F21"/>
    <mergeCell ref="H21:I21"/>
    <mergeCell ref="A25:I25"/>
    <mergeCell ref="A36:I36"/>
    <mergeCell ref="D37:I37"/>
    <mergeCell ref="D23:F23"/>
    <mergeCell ref="H23:I23"/>
    <mergeCell ref="D22:F22"/>
    <mergeCell ref="H22:I22"/>
    <mergeCell ref="A41:I41"/>
    <mergeCell ref="D38:I38"/>
    <mergeCell ref="D39:I39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28"/>
  <sheetViews>
    <sheetView showGridLines="0" zoomScaleNormal="100" workbookViewId="0">
      <selection activeCell="J25" sqref="J25:J26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41" t="s">
        <v>102</v>
      </c>
      <c r="B1" s="41"/>
      <c r="C1" s="41"/>
      <c r="D1" s="41"/>
      <c r="E1" s="41"/>
      <c r="F1" s="41"/>
      <c r="G1" s="41"/>
      <c r="H1" s="41"/>
      <c r="I1" s="41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</v>
      </c>
      <c r="D4" s="28"/>
      <c r="E4" s="28"/>
      <c r="F4" s="28"/>
      <c r="G4" s="28"/>
      <c r="H4" s="28"/>
      <c r="I4" s="28"/>
    </row>
    <row r="5" spans="1:9" ht="6" customHeight="1" x14ac:dyDescent="0.25"/>
    <row r="6" spans="1:9" ht="19.5" customHeight="1" x14ac:dyDescent="0.25">
      <c r="A6" s="31" t="s">
        <v>70</v>
      </c>
      <c r="B6" s="31"/>
      <c r="C6" s="31"/>
      <c r="D6" s="31"/>
      <c r="E6" s="31"/>
      <c r="F6" s="31"/>
      <c r="G6" s="31"/>
      <c r="H6" s="31"/>
      <c r="I6" s="31"/>
    </row>
    <row r="7" spans="1:9" ht="18" customHeight="1" x14ac:dyDescent="0.25">
      <c r="B7" s="4" t="s">
        <v>5</v>
      </c>
      <c r="D7" s="4" t="s">
        <v>6</v>
      </c>
      <c r="F7" s="4" t="s">
        <v>7</v>
      </c>
      <c r="H7" s="4" t="s">
        <v>8</v>
      </c>
      <c r="I7" s="4" t="s">
        <v>9</v>
      </c>
    </row>
    <row r="8" spans="1:9" ht="18.75" customHeight="1" x14ac:dyDescent="0.25">
      <c r="B8" s="5" t="s">
        <v>71</v>
      </c>
      <c r="D8" s="3"/>
      <c r="F8" s="3"/>
      <c r="H8" s="6" t="str">
        <f>IFERROR(IF(AND(ISNUMBER(D8),ISNUMBER(F8),D8&gt;0),F8/D8,"—"),"—")</f>
        <v>—</v>
      </c>
      <c r="I8" s="7" t="s">
        <v>11</v>
      </c>
    </row>
    <row r="9" spans="1:9" ht="18.75" customHeight="1" x14ac:dyDescent="0.25">
      <c r="B9" s="5" t="s">
        <v>12</v>
      </c>
      <c r="D9" s="3"/>
      <c r="F9" s="3"/>
      <c r="H9" s="6" t="str">
        <f>IFERROR(IF(AND(ISNUMBER(D9),ISNUMBER(F9),D9&gt;0),F9/D9,"—"),"—")</f>
        <v>—</v>
      </c>
      <c r="I9" s="7" t="s">
        <v>13</v>
      </c>
    </row>
    <row r="10" spans="1:9" ht="18.75" customHeight="1" x14ac:dyDescent="0.25">
      <c r="B10" s="5" t="s">
        <v>72</v>
      </c>
      <c r="D10" s="3"/>
      <c r="F10" s="3"/>
      <c r="H10" s="6" t="str">
        <f>IFERROR(IF(AND(ISNUMBER(D10),ISNUMBER(F10),D10&gt;0),F10/D10,"—"),"—")</f>
        <v>—</v>
      </c>
      <c r="I10" s="7" t="s">
        <v>18</v>
      </c>
    </row>
    <row r="11" spans="1:9" ht="6" customHeight="1" x14ac:dyDescent="0.25"/>
    <row r="12" spans="1:9" ht="19.5" customHeight="1" x14ac:dyDescent="0.25">
      <c r="A12" s="31" t="s">
        <v>73</v>
      </c>
      <c r="B12" s="31"/>
      <c r="C12" s="31"/>
      <c r="D12" s="31"/>
      <c r="E12" s="31"/>
      <c r="F12" s="31"/>
      <c r="G12" s="31"/>
      <c r="H12" s="31"/>
      <c r="I12" s="31"/>
    </row>
    <row r="13" spans="1:9" ht="18" customHeight="1" x14ac:dyDescent="0.25">
      <c r="B13" s="4" t="s">
        <v>5</v>
      </c>
      <c r="D13" s="32" t="s">
        <v>25</v>
      </c>
      <c r="E13" s="32"/>
      <c r="F13" s="32"/>
      <c r="H13" s="32" t="s">
        <v>26</v>
      </c>
      <c r="I13" s="32"/>
    </row>
    <row r="14" spans="1:9" ht="18.75" customHeight="1" x14ac:dyDescent="0.25">
      <c r="B14" s="5" t="s">
        <v>74</v>
      </c>
      <c r="D14" s="28"/>
      <c r="E14" s="28"/>
      <c r="F14" s="28"/>
      <c r="H14" s="39"/>
      <c r="I14" s="39"/>
    </row>
    <row r="15" spans="1:9" ht="18.75" customHeight="1" x14ac:dyDescent="0.25">
      <c r="B15" s="5" t="s">
        <v>75</v>
      </c>
      <c r="D15" s="28"/>
      <c r="E15" s="28"/>
      <c r="F15" s="28"/>
      <c r="H15" s="39"/>
      <c r="I15" s="39"/>
    </row>
    <row r="16" spans="1:9" ht="18.75" customHeight="1" x14ac:dyDescent="0.25">
      <c r="B16" s="5" t="s">
        <v>76</v>
      </c>
      <c r="D16" s="28"/>
      <c r="E16" s="28"/>
      <c r="F16" s="28"/>
      <c r="H16" s="29" t="s">
        <v>28</v>
      </c>
      <c r="I16" s="29"/>
    </row>
    <row r="17" spans="1:9" ht="18.75" customHeight="1" x14ac:dyDescent="0.25">
      <c r="B17" s="5" t="s">
        <v>77</v>
      </c>
      <c r="D17" s="28"/>
      <c r="E17" s="28"/>
      <c r="F17" s="28"/>
      <c r="H17" s="29" t="s">
        <v>28</v>
      </c>
      <c r="I17" s="29"/>
    </row>
    <row r="18" spans="1:9" ht="18.75" customHeight="1" x14ac:dyDescent="0.25">
      <c r="B18" s="5" t="s">
        <v>78</v>
      </c>
      <c r="D18" s="28"/>
      <c r="E18" s="28"/>
      <c r="F18" s="28"/>
      <c r="H18" s="39"/>
      <c r="I18" s="39"/>
    </row>
    <row r="19" spans="1:9" ht="6" customHeight="1" x14ac:dyDescent="0.25"/>
    <row r="20" spans="1:9" ht="19.5" customHeight="1" x14ac:dyDescent="0.25">
      <c r="A20" s="31" t="s">
        <v>79</v>
      </c>
      <c r="B20" s="31"/>
      <c r="C20" s="31"/>
      <c r="D20" s="31"/>
      <c r="E20" s="31"/>
      <c r="F20" s="31"/>
      <c r="G20" s="31"/>
      <c r="H20" s="31"/>
      <c r="I20" s="31"/>
    </row>
    <row r="21" spans="1:9" ht="18" customHeight="1" x14ac:dyDescent="0.25">
      <c r="B21" s="4" t="s">
        <v>5</v>
      </c>
      <c r="D21" s="4" t="s">
        <v>6</v>
      </c>
      <c r="F21" s="4" t="s">
        <v>7</v>
      </c>
      <c r="H21" s="4" t="s">
        <v>8</v>
      </c>
      <c r="I21" s="4" t="s">
        <v>9</v>
      </c>
    </row>
    <row r="22" spans="1:9" ht="18.75" customHeight="1" x14ac:dyDescent="0.25">
      <c r="B22" s="5" t="s">
        <v>80</v>
      </c>
      <c r="D22" s="3"/>
      <c r="F22" s="3"/>
      <c r="H22" s="6" t="str">
        <f>IFERROR(IF(AND(ISNUMBER(D22),ISNUMBER(F22),D22&gt;0),F22/D22,"—"),"—")</f>
        <v>—</v>
      </c>
      <c r="I22" s="7" t="s">
        <v>15</v>
      </c>
    </row>
    <row r="23" spans="1:9" ht="18.75" customHeight="1" x14ac:dyDescent="0.25">
      <c r="B23" s="5" t="s">
        <v>81</v>
      </c>
      <c r="D23" s="3"/>
      <c r="F23" s="3"/>
      <c r="H23" s="6" t="str">
        <f>IFERROR(IF(AND(ISNUMBER(D23),ISNUMBER(F23),D23&gt;0),F23/D23,"—"),"—")</f>
        <v>—</v>
      </c>
      <c r="I23" s="7" t="s">
        <v>18</v>
      </c>
    </row>
    <row r="24" spans="1:9" ht="18.75" customHeight="1" x14ac:dyDescent="0.25">
      <c r="B24" s="5" t="s">
        <v>82</v>
      </c>
      <c r="D24" s="3"/>
      <c r="F24" s="3"/>
      <c r="H24" s="6" t="str">
        <f>IFERROR(IF(AND(ISNUMBER(D24),ISNUMBER(F24),D24&gt;0),F24/D24,"—"),"—")</f>
        <v>—</v>
      </c>
      <c r="I24" s="7" t="s">
        <v>18</v>
      </c>
    </row>
    <row r="25" spans="1:9" ht="31.5" customHeight="1" x14ac:dyDescent="0.25">
      <c r="B25" s="5" t="s">
        <v>157</v>
      </c>
      <c r="D25" s="1">
        <v>0</v>
      </c>
      <c r="F25" s="3"/>
      <c r="H25" s="6" t="str">
        <f>IFERROR(IF(AND(ISNUMBER(D25),ISNUMBER(F25),D25&gt;0),F25/D25,"—"),"—")</f>
        <v>—</v>
      </c>
      <c r="I25" s="7" t="s">
        <v>15</v>
      </c>
    </row>
    <row r="26" spans="1:9" ht="39.75" customHeight="1" x14ac:dyDescent="0.25">
      <c r="B26" s="5" t="s">
        <v>158</v>
      </c>
      <c r="D26" s="1">
        <v>0</v>
      </c>
      <c r="F26" s="3"/>
      <c r="H26" s="6" t="str">
        <f>IFERROR(IF(AND(ISNUMBER(D26),ISNUMBER(F26),D26&gt;0),F26/D26,"—"),"—")</f>
        <v>—</v>
      </c>
      <c r="I26" s="7" t="s">
        <v>18</v>
      </c>
    </row>
    <row r="27" spans="1:9" ht="7.5" customHeight="1" x14ac:dyDescent="0.25"/>
    <row r="28" spans="1:9" ht="15.75" customHeight="1" x14ac:dyDescent="0.25">
      <c r="A28" s="30" t="s">
        <v>83</v>
      </c>
      <c r="B28" s="30"/>
      <c r="C28" s="30"/>
      <c r="D28" s="30"/>
      <c r="E28" s="30"/>
      <c r="F28" s="30"/>
      <c r="G28" s="30"/>
      <c r="H28" s="30"/>
      <c r="I28" s="30"/>
    </row>
  </sheetData>
  <mergeCells count="20">
    <mergeCell ref="A1:I1"/>
    <mergeCell ref="A2:I2"/>
    <mergeCell ref="D3:I3"/>
    <mergeCell ref="D4:I4"/>
    <mergeCell ref="A6:I6"/>
    <mergeCell ref="A12:I12"/>
    <mergeCell ref="D13:F13"/>
    <mergeCell ref="H13:I13"/>
    <mergeCell ref="D14:F14"/>
    <mergeCell ref="H14:I14"/>
    <mergeCell ref="D18:F18"/>
    <mergeCell ref="H18:I18"/>
    <mergeCell ref="A20:I20"/>
    <mergeCell ref="A28:I28"/>
    <mergeCell ref="D15:F15"/>
    <mergeCell ref="H15:I15"/>
    <mergeCell ref="D16:F16"/>
    <mergeCell ref="H16:I16"/>
    <mergeCell ref="D17:F17"/>
    <mergeCell ref="H17:I17"/>
  </mergeCells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39"/>
  <sheetViews>
    <sheetView showGridLines="0" zoomScaleNormal="100" workbookViewId="0">
      <selection activeCell="A36" sqref="A36:XFD38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41" t="s">
        <v>103</v>
      </c>
      <c r="B1" s="41"/>
      <c r="C1" s="41"/>
      <c r="D1" s="41"/>
      <c r="E1" s="41"/>
      <c r="F1" s="41"/>
      <c r="G1" s="41"/>
      <c r="H1" s="41"/>
      <c r="I1" s="41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32</v>
      </c>
      <c r="D4" s="28"/>
      <c r="E4" s="28"/>
      <c r="F4" s="28"/>
      <c r="G4" s="28"/>
      <c r="H4" s="28"/>
      <c r="I4" s="28"/>
    </row>
    <row r="5" spans="1:9" ht="16.5" customHeight="1" x14ac:dyDescent="0.25">
      <c r="B5" s="2" t="s">
        <v>33</v>
      </c>
      <c r="D5" s="28"/>
      <c r="E5" s="28"/>
      <c r="F5" s="28"/>
      <c r="G5" s="28"/>
      <c r="H5" s="28"/>
      <c r="I5" s="28"/>
    </row>
    <row r="6" spans="1:9" ht="6" customHeight="1" x14ac:dyDescent="0.25"/>
    <row r="7" spans="1:9" ht="19.5" customHeight="1" x14ac:dyDescent="0.25">
      <c r="A7" s="31" t="s">
        <v>85</v>
      </c>
      <c r="B7" s="31"/>
      <c r="C7" s="31"/>
      <c r="D7" s="31"/>
      <c r="E7" s="31"/>
      <c r="F7" s="31"/>
      <c r="G7" s="31"/>
      <c r="H7" s="31"/>
      <c r="I7" s="31"/>
    </row>
    <row r="8" spans="1:9" ht="18" customHeight="1" x14ac:dyDescent="0.25">
      <c r="B8" s="4" t="s">
        <v>5</v>
      </c>
      <c r="D8" s="4" t="s">
        <v>6</v>
      </c>
      <c r="F8" s="4" t="s">
        <v>7</v>
      </c>
      <c r="H8" s="4" t="s">
        <v>8</v>
      </c>
      <c r="I8" s="4" t="s">
        <v>9</v>
      </c>
    </row>
    <row r="9" spans="1:9" ht="18.75" customHeight="1" x14ac:dyDescent="0.25">
      <c r="B9" s="5" t="s">
        <v>86</v>
      </c>
      <c r="D9" s="3"/>
      <c r="F9" s="3"/>
      <c r="H9" s="6" t="str">
        <f>IFERROR(IF(AND(ISNUMBER(D9),ISNUMBER(F9),D9&gt;0),F9/D9,"—"),"—")</f>
        <v>—</v>
      </c>
      <c r="I9" s="7" t="s">
        <v>11</v>
      </c>
    </row>
    <row r="10" spans="1:9" ht="18.75" customHeight="1" x14ac:dyDescent="0.25">
      <c r="B10" s="5" t="s">
        <v>87</v>
      </c>
      <c r="D10" s="3"/>
      <c r="F10" s="3"/>
      <c r="H10" s="6" t="str">
        <f>IFERROR(IF(AND(ISNUMBER(D10),ISNUMBER(F10),D10&gt;0),F10/D10,"—"),"—")</f>
        <v>—</v>
      </c>
      <c r="I10" s="7" t="s">
        <v>13</v>
      </c>
    </row>
    <row r="11" spans="1:9" ht="6" customHeight="1" x14ac:dyDescent="0.25"/>
    <row r="12" spans="1:9" ht="19.5" customHeight="1" x14ac:dyDescent="0.25">
      <c r="A12" s="31" t="s">
        <v>88</v>
      </c>
      <c r="B12" s="31"/>
      <c r="C12" s="31"/>
      <c r="D12" s="31"/>
      <c r="E12" s="31"/>
      <c r="F12" s="31"/>
      <c r="G12" s="31"/>
      <c r="H12" s="31"/>
      <c r="I12" s="31"/>
    </row>
    <row r="13" spans="1:9" ht="18" customHeight="1" x14ac:dyDescent="0.25">
      <c r="B13" s="4" t="s">
        <v>5</v>
      </c>
      <c r="D13" s="32" t="s">
        <v>25</v>
      </c>
      <c r="E13" s="32"/>
      <c r="F13" s="32"/>
      <c r="H13" s="32" t="s">
        <v>89</v>
      </c>
      <c r="I13" s="32"/>
    </row>
    <row r="14" spans="1:9" ht="18.75" customHeight="1" x14ac:dyDescent="0.25">
      <c r="B14" s="5" t="s">
        <v>90</v>
      </c>
      <c r="D14" s="28"/>
      <c r="E14" s="28"/>
      <c r="F14" s="28"/>
      <c r="H14" s="28"/>
      <c r="I14" s="28"/>
    </row>
    <row r="15" spans="1:9" ht="18.75" customHeight="1" x14ac:dyDescent="0.25">
      <c r="B15" s="5" t="s">
        <v>37</v>
      </c>
      <c r="D15" s="28"/>
      <c r="E15" s="28"/>
      <c r="F15" s="28"/>
      <c r="H15" s="28"/>
      <c r="I15" s="28"/>
    </row>
    <row r="16" spans="1:9" ht="18.75" customHeight="1" x14ac:dyDescent="0.25">
      <c r="B16" s="5" t="s">
        <v>81</v>
      </c>
      <c r="D16" s="28"/>
      <c r="E16" s="28"/>
      <c r="F16" s="28"/>
      <c r="H16" s="28"/>
      <c r="I16" s="28"/>
    </row>
    <row r="17" spans="1:9" ht="18.75" customHeight="1" x14ac:dyDescent="0.25">
      <c r="B17" s="5" t="s">
        <v>91</v>
      </c>
      <c r="D17" s="28"/>
      <c r="E17" s="28"/>
      <c r="F17" s="28"/>
      <c r="H17" s="28"/>
      <c r="I17" s="28"/>
    </row>
    <row r="18" spans="1:9" ht="18.75" customHeight="1" x14ac:dyDescent="0.25">
      <c r="B18" s="5" t="s">
        <v>92</v>
      </c>
      <c r="D18" s="28"/>
      <c r="E18" s="28"/>
      <c r="F18" s="28"/>
      <c r="H18" s="28"/>
      <c r="I18" s="28"/>
    </row>
    <row r="19" spans="1:9" ht="18.75" customHeight="1" x14ac:dyDescent="0.25">
      <c r="B19" s="5" t="s">
        <v>93</v>
      </c>
      <c r="D19" s="28"/>
      <c r="E19" s="28"/>
      <c r="F19" s="28"/>
      <c r="H19" s="28"/>
      <c r="I19" s="28"/>
    </row>
    <row r="20" spans="1:9" ht="18.75" customHeight="1" x14ac:dyDescent="0.25">
      <c r="B20" s="5" t="s">
        <v>94</v>
      </c>
      <c r="D20" s="28"/>
      <c r="E20" s="28"/>
      <c r="F20" s="28"/>
      <c r="H20" s="28"/>
      <c r="I20" s="28"/>
    </row>
    <row r="21" spans="1:9" ht="18.75" customHeight="1" x14ac:dyDescent="0.25">
      <c r="B21" s="5" t="s">
        <v>95</v>
      </c>
      <c r="D21" s="28"/>
      <c r="E21" s="28"/>
      <c r="F21" s="28"/>
      <c r="H21" s="28"/>
      <c r="I21" s="28"/>
    </row>
    <row r="22" spans="1:9" ht="6" customHeight="1" x14ac:dyDescent="0.25"/>
    <row r="23" spans="1:9" ht="19.5" customHeight="1" x14ac:dyDescent="0.25">
      <c r="A23" s="31" t="s">
        <v>96</v>
      </c>
      <c r="B23" s="31"/>
      <c r="C23" s="31"/>
      <c r="D23" s="31"/>
      <c r="E23" s="31"/>
      <c r="F23" s="31"/>
      <c r="G23" s="31"/>
      <c r="H23" s="31"/>
      <c r="I23" s="31"/>
    </row>
    <row r="24" spans="1:9" ht="18" customHeight="1" x14ac:dyDescent="0.25">
      <c r="B24" s="4" t="s">
        <v>43</v>
      </c>
      <c r="D24" s="4" t="s">
        <v>45</v>
      </c>
      <c r="F24" s="4" t="s">
        <v>97</v>
      </c>
      <c r="H24" s="4" t="s">
        <v>98</v>
      </c>
      <c r="I24" s="4" t="s">
        <v>99</v>
      </c>
    </row>
    <row r="25" spans="1:9" ht="16.5" customHeight="1" x14ac:dyDescent="0.25">
      <c r="B25" s="5" t="s">
        <v>48</v>
      </c>
      <c r="D25" s="3"/>
      <c r="F25" s="3"/>
      <c r="H25" s="14" t="str">
        <f t="shared" ref="H25:H31" si="0">IFERROR(D25/F25,"—")</f>
        <v>—</v>
      </c>
      <c r="I25" s="3"/>
    </row>
    <row r="26" spans="1:9" ht="16.5" customHeight="1" x14ac:dyDescent="0.25">
      <c r="B26" s="5" t="s">
        <v>49</v>
      </c>
      <c r="D26" s="3"/>
      <c r="F26" s="3"/>
      <c r="H26" s="14" t="str">
        <f t="shared" si="0"/>
        <v>—</v>
      </c>
      <c r="I26" s="3"/>
    </row>
    <row r="27" spans="1:9" ht="16.5" customHeight="1" x14ac:dyDescent="0.25">
      <c r="B27" s="5" t="s">
        <v>50</v>
      </c>
      <c r="D27" s="3"/>
      <c r="F27" s="3"/>
      <c r="H27" s="14" t="str">
        <f t="shared" si="0"/>
        <v>—</v>
      </c>
      <c r="I27" s="3"/>
    </row>
    <row r="28" spans="1:9" ht="16.5" customHeight="1" x14ac:dyDescent="0.25">
      <c r="B28" s="5" t="s">
        <v>51</v>
      </c>
      <c r="D28" s="3"/>
      <c r="F28" s="3"/>
      <c r="H28" s="14" t="str">
        <f t="shared" si="0"/>
        <v>—</v>
      </c>
      <c r="I28" s="3"/>
    </row>
    <row r="29" spans="1:9" ht="16.5" customHeight="1" x14ac:dyDescent="0.25">
      <c r="B29" s="5" t="s">
        <v>52</v>
      </c>
      <c r="D29" s="3"/>
      <c r="F29" s="3"/>
      <c r="H29" s="14" t="str">
        <f t="shared" si="0"/>
        <v>—</v>
      </c>
      <c r="I29" s="3"/>
    </row>
    <row r="30" spans="1:9" ht="16.5" customHeight="1" x14ac:dyDescent="0.25">
      <c r="B30" s="5" t="s">
        <v>53</v>
      </c>
      <c r="D30" s="3"/>
      <c r="F30" s="3"/>
      <c r="H30" s="14" t="str">
        <f t="shared" si="0"/>
        <v>—</v>
      </c>
      <c r="I30" s="3"/>
    </row>
    <row r="31" spans="1:9" ht="16.5" customHeight="1" x14ac:dyDescent="0.25">
      <c r="B31" s="5" t="s">
        <v>54</v>
      </c>
      <c r="D31" s="3"/>
      <c r="F31" s="3"/>
      <c r="H31" s="14" t="str">
        <f t="shared" si="0"/>
        <v>—</v>
      </c>
      <c r="I31" s="3"/>
    </row>
    <row r="32" spans="1:9" ht="19.5" customHeight="1" x14ac:dyDescent="0.25">
      <c r="B32" s="10" t="s">
        <v>55</v>
      </c>
      <c r="D32" s="11">
        <f>SUM(D25:D31)</f>
        <v>0</v>
      </c>
      <c r="F32" s="15"/>
      <c r="H32" s="15"/>
      <c r="I32" s="11">
        <f>SUM(I25:I31)</f>
        <v>0</v>
      </c>
    </row>
    <row r="33" spans="1:9" ht="6" customHeight="1" x14ac:dyDescent="0.25"/>
    <row r="34" spans="1:9" ht="19.5" customHeight="1" x14ac:dyDescent="0.25">
      <c r="A34" s="36" t="s">
        <v>56</v>
      </c>
      <c r="B34" s="36"/>
      <c r="C34" s="36"/>
      <c r="D34" s="36"/>
      <c r="E34" s="36"/>
      <c r="F34" s="36"/>
      <c r="G34" s="36"/>
      <c r="H34" s="36"/>
      <c r="I34" s="36"/>
    </row>
    <row r="35" spans="1:9" ht="18" customHeight="1" x14ac:dyDescent="0.25">
      <c r="B35" s="12" t="s">
        <v>57</v>
      </c>
      <c r="D35" s="37" t="s">
        <v>100</v>
      </c>
      <c r="E35" s="37"/>
      <c r="F35" s="37"/>
      <c r="G35" s="37"/>
      <c r="H35" s="37"/>
      <c r="I35" s="37"/>
    </row>
    <row r="36" spans="1:9" ht="25.5" customHeight="1" x14ac:dyDescent="0.25">
      <c r="B36" s="13" t="s">
        <v>64</v>
      </c>
      <c r="D36" s="35" t="s">
        <v>60</v>
      </c>
      <c r="E36" s="35"/>
      <c r="F36" s="35"/>
      <c r="G36" s="35"/>
      <c r="H36" s="35"/>
      <c r="I36" s="35"/>
    </row>
    <row r="37" spans="1:9" ht="25.5" customHeight="1" x14ac:dyDescent="0.25">
      <c r="B37" s="13" t="s">
        <v>65</v>
      </c>
      <c r="D37" s="35" t="s">
        <v>60</v>
      </c>
      <c r="E37" s="35"/>
      <c r="F37" s="35"/>
      <c r="G37" s="35"/>
      <c r="H37" s="35"/>
      <c r="I37" s="35"/>
    </row>
    <row r="38" spans="1:9" ht="7.5" customHeight="1" x14ac:dyDescent="0.25"/>
    <row r="39" spans="1:9" ht="15.75" customHeight="1" x14ac:dyDescent="0.25">
      <c r="A39" s="30" t="s">
        <v>101</v>
      </c>
      <c r="B39" s="30"/>
      <c r="C39" s="30"/>
      <c r="D39" s="30"/>
      <c r="E39" s="30"/>
      <c r="F39" s="30"/>
      <c r="G39" s="30"/>
      <c r="H39" s="30"/>
      <c r="I39" s="30"/>
    </row>
  </sheetData>
  <mergeCells count="31">
    <mergeCell ref="A1:I1"/>
    <mergeCell ref="A2:I2"/>
    <mergeCell ref="D3:I3"/>
    <mergeCell ref="D4:I4"/>
    <mergeCell ref="D5:I5"/>
    <mergeCell ref="A7:I7"/>
    <mergeCell ref="A12:I12"/>
    <mergeCell ref="D13:F13"/>
    <mergeCell ref="H13:I13"/>
    <mergeCell ref="D14:F14"/>
    <mergeCell ref="H14:I14"/>
    <mergeCell ref="D15:F15"/>
    <mergeCell ref="H15:I15"/>
    <mergeCell ref="D16:F16"/>
    <mergeCell ref="H16:I16"/>
    <mergeCell ref="D17:F17"/>
    <mergeCell ref="H17:I17"/>
    <mergeCell ref="D18:F18"/>
    <mergeCell ref="H18:I18"/>
    <mergeCell ref="D19:F19"/>
    <mergeCell ref="H19:I19"/>
    <mergeCell ref="D20:F20"/>
    <mergeCell ref="H20:I20"/>
    <mergeCell ref="D21:F21"/>
    <mergeCell ref="H21:I21"/>
    <mergeCell ref="A23:I23"/>
    <mergeCell ref="A34:I34"/>
    <mergeCell ref="D35:I35"/>
    <mergeCell ref="A39:I39"/>
    <mergeCell ref="D36:I36"/>
    <mergeCell ref="D37:I37"/>
  </mergeCells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I17"/>
  <sheetViews>
    <sheetView showGridLines="0" zoomScaleNormal="100" workbookViewId="0">
      <selection activeCell="B25" sqref="B25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42" t="s">
        <v>104</v>
      </c>
      <c r="B1" s="42"/>
      <c r="C1" s="42"/>
      <c r="D1" s="42"/>
      <c r="E1" s="42"/>
      <c r="F1" s="42"/>
      <c r="G1" s="42"/>
      <c r="H1" s="42"/>
      <c r="I1" s="42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</v>
      </c>
      <c r="D4" s="28"/>
      <c r="E4" s="28"/>
      <c r="F4" s="28"/>
      <c r="G4" s="28"/>
      <c r="H4" s="28"/>
      <c r="I4" s="28"/>
    </row>
    <row r="5" spans="1:9" ht="6" customHeight="1" x14ac:dyDescent="0.25"/>
    <row r="6" spans="1:9" ht="19.5" customHeight="1" x14ac:dyDescent="0.25">
      <c r="A6" s="31" t="s">
        <v>170</v>
      </c>
      <c r="B6" s="31"/>
      <c r="C6" s="31"/>
      <c r="D6" s="31"/>
      <c r="E6" s="31"/>
      <c r="F6" s="31"/>
      <c r="G6" s="31"/>
      <c r="H6" s="31"/>
      <c r="I6" s="31"/>
    </row>
    <row r="7" spans="1:9" ht="18" customHeight="1" x14ac:dyDescent="0.25">
      <c r="B7" s="4" t="s">
        <v>5</v>
      </c>
      <c r="D7" s="4" t="s">
        <v>6</v>
      </c>
      <c r="F7" s="4" t="s">
        <v>7</v>
      </c>
      <c r="H7" s="4" t="s">
        <v>8</v>
      </c>
      <c r="I7" s="4" t="s">
        <v>9</v>
      </c>
    </row>
    <row r="8" spans="1:9" ht="18.75" customHeight="1" x14ac:dyDescent="0.25">
      <c r="B8" s="5" t="s">
        <v>105</v>
      </c>
      <c r="D8" s="3"/>
      <c r="F8" s="3"/>
      <c r="H8" s="6" t="str">
        <f>IFERROR(IF(AND(ISNUMBER(D8),ISNUMBER(F8),D8&gt;0),F8/D8,"—"),"—")</f>
        <v>—</v>
      </c>
      <c r="I8" s="7" t="s">
        <v>15</v>
      </c>
    </row>
    <row r="9" spans="1:9" ht="18.75" customHeight="1" x14ac:dyDescent="0.25">
      <c r="B9" s="5" t="s">
        <v>17</v>
      </c>
      <c r="D9" s="3"/>
      <c r="F9" s="3"/>
      <c r="H9" s="6" t="str">
        <f>IFERROR(IF(AND(ISNUMBER(D9),ISNUMBER(F9),D9&gt;0),F9/D9,"—"),"—")</f>
        <v>—</v>
      </c>
      <c r="I9" s="7" t="s">
        <v>18</v>
      </c>
    </row>
    <row r="10" spans="1:9" ht="18.75" customHeight="1" x14ac:dyDescent="0.25">
      <c r="B10" s="5" t="s">
        <v>106</v>
      </c>
      <c r="D10" s="8" t="str">
        <f>IFERROR(D9/D8,"—")</f>
        <v>—</v>
      </c>
      <c r="F10" s="8" t="str">
        <f>IFERROR(F9/F8,"—")</f>
        <v>—</v>
      </c>
      <c r="H10" s="6" t="str">
        <f>IFERROR(IF(AND(ISNUMBER(D10),ISNUMBER(F10),D10&gt;0),F10/D10,"—"),"—")</f>
        <v>—</v>
      </c>
      <c r="I10" s="7" t="s">
        <v>18</v>
      </c>
    </row>
    <row r="11" spans="1:9" ht="7.5" customHeight="1" x14ac:dyDescent="0.25"/>
    <row r="12" spans="1:9" ht="19.5" customHeight="1" thickBot="1" x14ac:dyDescent="0.3">
      <c r="A12" s="31" t="s">
        <v>171</v>
      </c>
      <c r="B12" s="31"/>
      <c r="C12" s="31"/>
      <c r="D12" s="31"/>
      <c r="E12" s="31"/>
      <c r="F12" s="31"/>
      <c r="G12" s="31"/>
      <c r="H12" s="31"/>
      <c r="I12" s="31"/>
    </row>
    <row r="13" spans="1:9" ht="18" customHeight="1" x14ac:dyDescent="0.25">
      <c r="B13" s="4" t="s">
        <v>5</v>
      </c>
      <c r="D13" s="4" t="s">
        <v>6</v>
      </c>
      <c r="F13" s="4" t="s">
        <v>7</v>
      </c>
      <c r="H13" s="4" t="s">
        <v>8</v>
      </c>
      <c r="I13" s="4" t="s">
        <v>9</v>
      </c>
    </row>
    <row r="14" spans="1:9" ht="18.75" customHeight="1" x14ac:dyDescent="0.25">
      <c r="B14" s="5" t="s">
        <v>105</v>
      </c>
      <c r="D14" s="3"/>
      <c r="F14" s="3"/>
      <c r="H14" s="6" t="str">
        <f>IFERROR(IF(AND(ISNUMBER(D14),ISNUMBER(F14),D14&gt;0),F14/D14,"—"),"—")</f>
        <v>—</v>
      </c>
      <c r="I14" s="7" t="s">
        <v>15</v>
      </c>
    </row>
    <row r="15" spans="1:9" ht="18.75" customHeight="1" x14ac:dyDescent="0.25">
      <c r="B15" s="5" t="s">
        <v>17</v>
      </c>
      <c r="D15" s="3"/>
      <c r="F15" s="3"/>
      <c r="H15" s="6" t="str">
        <f>IFERROR(IF(AND(ISNUMBER(D15),ISNUMBER(F15),D15&gt;0),F15/D15,"—"),"—")</f>
        <v>—</v>
      </c>
      <c r="I15" s="7" t="s">
        <v>18</v>
      </c>
    </row>
    <row r="16" spans="1:9" ht="18.75" customHeight="1" x14ac:dyDescent="0.25">
      <c r="B16" s="5" t="s">
        <v>106</v>
      </c>
      <c r="D16" s="8" t="str">
        <f>IFERROR(D15/D14,"—")</f>
        <v>—</v>
      </c>
      <c r="F16" s="8" t="str">
        <f>IFERROR(F15/F14,"—")</f>
        <v>—</v>
      </c>
      <c r="H16" s="6" t="str">
        <f>IFERROR(IF(AND(ISNUMBER(D16),ISNUMBER(F16),D16&gt;0),F16/D16,"—"),"—")</f>
        <v>—</v>
      </c>
      <c r="I16" s="7" t="s">
        <v>18</v>
      </c>
    </row>
    <row r="17" spans="1:9" ht="15.75" customHeight="1" x14ac:dyDescent="0.25">
      <c r="A17" s="30" t="s">
        <v>30</v>
      </c>
      <c r="B17" s="30"/>
      <c r="C17" s="30"/>
      <c r="D17" s="30"/>
      <c r="E17" s="30"/>
      <c r="F17" s="30"/>
      <c r="G17" s="30"/>
      <c r="H17" s="30"/>
      <c r="I17" s="30"/>
    </row>
  </sheetData>
  <mergeCells count="7">
    <mergeCell ref="A17:I17"/>
    <mergeCell ref="A1:I1"/>
    <mergeCell ref="A2:I2"/>
    <mergeCell ref="D3:I3"/>
    <mergeCell ref="D4:I4"/>
    <mergeCell ref="A6:I6"/>
    <mergeCell ref="A12:I12"/>
  </mergeCells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I31"/>
  <sheetViews>
    <sheetView showGridLines="0" zoomScaleNormal="100" workbookViewId="0">
      <selection activeCell="L27" sqref="L27"/>
    </sheetView>
  </sheetViews>
  <sheetFormatPr defaultColWidth="8.7109375" defaultRowHeight="15" x14ac:dyDescent="0.25"/>
  <cols>
    <col min="1" max="1" width="1.42578125" customWidth="1"/>
    <col min="2" max="2" width="34" customWidth="1"/>
    <col min="3" max="3" width="2" customWidth="1"/>
    <col min="4" max="4" width="13" customWidth="1"/>
    <col min="5" max="5" width="2" customWidth="1"/>
    <col min="6" max="6" width="13" customWidth="1"/>
    <col min="7" max="7" width="2" customWidth="1"/>
    <col min="8" max="8" width="13" customWidth="1"/>
    <col min="9" max="9" width="14" customWidth="1"/>
  </cols>
  <sheetData>
    <row r="1" spans="1:9" ht="27.75" customHeight="1" x14ac:dyDescent="0.25">
      <c r="A1" s="42" t="s">
        <v>107</v>
      </c>
      <c r="B1" s="42"/>
      <c r="C1" s="42"/>
      <c r="D1" s="42"/>
      <c r="E1" s="42"/>
      <c r="F1" s="42"/>
      <c r="G1" s="42"/>
      <c r="H1" s="42"/>
      <c r="I1" s="42"/>
    </row>
    <row r="2" spans="1:9" ht="15.75" customHeight="1" x14ac:dyDescent="0.25">
      <c r="A2" s="34" t="s">
        <v>1</v>
      </c>
      <c r="B2" s="34"/>
      <c r="C2" s="34"/>
      <c r="D2" s="34"/>
      <c r="E2" s="34"/>
      <c r="F2" s="34"/>
      <c r="G2" s="34"/>
      <c r="H2" s="34"/>
      <c r="I2" s="34"/>
    </row>
    <row r="3" spans="1:9" ht="16.5" customHeight="1" x14ac:dyDescent="0.25">
      <c r="B3" s="2" t="s">
        <v>2</v>
      </c>
      <c r="D3" s="28"/>
      <c r="E3" s="28"/>
      <c r="F3" s="28"/>
      <c r="G3" s="28"/>
      <c r="H3" s="28"/>
      <c r="I3" s="28"/>
    </row>
    <row r="4" spans="1:9" ht="16.5" customHeight="1" x14ac:dyDescent="0.25">
      <c r="B4" s="2" t="s">
        <v>32</v>
      </c>
      <c r="D4" s="28"/>
      <c r="E4" s="28"/>
      <c r="F4" s="28"/>
      <c r="G4" s="28"/>
      <c r="H4" s="28"/>
      <c r="I4" s="28"/>
    </row>
    <row r="5" spans="1:9" ht="16.5" customHeight="1" x14ac:dyDescent="0.25">
      <c r="B5" s="2" t="s">
        <v>33</v>
      </c>
      <c r="D5" s="28"/>
      <c r="E5" s="28"/>
      <c r="F5" s="28"/>
      <c r="G5" s="28"/>
      <c r="H5" s="28"/>
      <c r="I5" s="28"/>
    </row>
    <row r="6" spans="1:9" ht="6" customHeight="1" x14ac:dyDescent="0.25"/>
    <row r="7" spans="1:9" ht="19.5" customHeight="1" x14ac:dyDescent="0.25">
      <c r="A7" s="31" t="s">
        <v>108</v>
      </c>
      <c r="B7" s="31"/>
      <c r="C7" s="31"/>
      <c r="D7" s="31"/>
      <c r="E7" s="31"/>
      <c r="F7" s="31"/>
      <c r="G7" s="31"/>
      <c r="H7" s="31"/>
      <c r="I7" s="31"/>
    </row>
    <row r="8" spans="1:9" ht="18" customHeight="1" x14ac:dyDescent="0.25">
      <c r="B8" s="4" t="s">
        <v>5</v>
      </c>
      <c r="D8" s="4" t="s">
        <v>6</v>
      </c>
      <c r="F8" s="4" t="s">
        <v>7</v>
      </c>
      <c r="H8" s="4" t="s">
        <v>8</v>
      </c>
      <c r="I8" s="4" t="s">
        <v>9</v>
      </c>
    </row>
    <row r="9" spans="1:9" ht="18.75" customHeight="1" x14ac:dyDescent="0.25">
      <c r="B9" s="5" t="s">
        <v>109</v>
      </c>
      <c r="D9" s="3"/>
      <c r="F9" s="3"/>
      <c r="H9" s="6" t="str">
        <f>IFERROR(IF(AND(ISNUMBER(D9),ISNUMBER(F9),D9&gt;0),F9/D9,"—"),"—")</f>
        <v>—</v>
      </c>
      <c r="I9" s="7" t="s">
        <v>15</v>
      </c>
    </row>
    <row r="10" spans="1:9" ht="18.75" customHeight="1" x14ac:dyDescent="0.25">
      <c r="B10" s="5" t="s">
        <v>39</v>
      </c>
      <c r="D10" s="3"/>
      <c r="F10" s="3"/>
      <c r="H10" s="6" t="str">
        <f>IFERROR(IF(AND(ISNUMBER(D10),ISNUMBER(F10),D10&gt;0),F10/D10,"—"),"—")</f>
        <v>—</v>
      </c>
      <c r="I10" s="7" t="s">
        <v>18</v>
      </c>
    </row>
    <row r="11" spans="1:9" ht="18.75" customHeight="1" x14ac:dyDescent="0.25">
      <c r="B11" s="5" t="s">
        <v>41</v>
      </c>
      <c r="D11" s="8" t="str">
        <f>IFERROR(D10/D9,"—")</f>
        <v>—</v>
      </c>
      <c r="F11" s="8" t="str">
        <f>IFERROR(F10/F9,"—")</f>
        <v>—</v>
      </c>
      <c r="H11" s="6" t="str">
        <f>IFERROR(IF(AND(ISNUMBER(D11),ISNUMBER(F11),D11&gt;0),F11/D11,"—"),"—")</f>
        <v>—</v>
      </c>
      <c r="I11" s="7" t="s">
        <v>18</v>
      </c>
    </row>
    <row r="12" spans="1:9" ht="6" customHeight="1" x14ac:dyDescent="0.25"/>
    <row r="13" spans="1:9" ht="19.5" customHeight="1" x14ac:dyDescent="0.25">
      <c r="A13" s="31" t="s">
        <v>110</v>
      </c>
      <c r="B13" s="31"/>
      <c r="C13" s="31"/>
      <c r="D13" s="31"/>
      <c r="E13" s="31"/>
      <c r="F13" s="31"/>
      <c r="G13" s="31"/>
      <c r="H13" s="31"/>
      <c r="I13" s="31"/>
    </row>
    <row r="14" spans="1:9" ht="18" customHeight="1" x14ac:dyDescent="0.25">
      <c r="B14" s="4" t="s">
        <v>43</v>
      </c>
      <c r="D14" s="4" t="s">
        <v>111</v>
      </c>
      <c r="F14" s="4" t="s">
        <v>44</v>
      </c>
      <c r="H14" s="4" t="s">
        <v>47</v>
      </c>
      <c r="I14" s="4" t="s">
        <v>112</v>
      </c>
    </row>
    <row r="15" spans="1:9" ht="16.5" customHeight="1" x14ac:dyDescent="0.25">
      <c r="B15" s="5" t="s">
        <v>48</v>
      </c>
      <c r="D15" s="3"/>
      <c r="F15" s="3"/>
      <c r="H15" s="8" t="str">
        <f t="shared" ref="H15:H22" si="0">IFERROR(F15/D15,"—")</f>
        <v>—</v>
      </c>
      <c r="I15" s="3"/>
    </row>
    <row r="16" spans="1:9" ht="16.5" customHeight="1" x14ac:dyDescent="0.25">
      <c r="B16" s="5" t="s">
        <v>49</v>
      </c>
      <c r="D16" s="3"/>
      <c r="F16" s="3"/>
      <c r="H16" s="8" t="str">
        <f t="shared" si="0"/>
        <v>—</v>
      </c>
      <c r="I16" s="3"/>
    </row>
    <row r="17" spans="1:9" ht="16.5" customHeight="1" x14ac:dyDescent="0.25">
      <c r="B17" s="5" t="s">
        <v>50</v>
      </c>
      <c r="D17" s="3"/>
      <c r="F17" s="3"/>
      <c r="H17" s="8" t="str">
        <f t="shared" si="0"/>
        <v>—</v>
      </c>
      <c r="I17" s="3"/>
    </row>
    <row r="18" spans="1:9" ht="16.5" customHeight="1" x14ac:dyDescent="0.25">
      <c r="B18" s="5" t="s">
        <v>51</v>
      </c>
      <c r="D18" s="3"/>
      <c r="F18" s="3"/>
      <c r="H18" s="8" t="str">
        <f t="shared" si="0"/>
        <v>—</v>
      </c>
      <c r="I18" s="3"/>
    </row>
    <row r="19" spans="1:9" ht="16.5" customHeight="1" x14ac:dyDescent="0.25">
      <c r="B19" s="5" t="s">
        <v>52</v>
      </c>
      <c r="D19" s="3"/>
      <c r="F19" s="3"/>
      <c r="H19" s="8" t="str">
        <f t="shared" si="0"/>
        <v>—</v>
      </c>
      <c r="I19" s="3"/>
    </row>
    <row r="20" spans="1:9" ht="16.5" customHeight="1" x14ac:dyDescent="0.25">
      <c r="B20" s="5" t="s">
        <v>53</v>
      </c>
      <c r="D20" s="3"/>
      <c r="F20" s="3"/>
      <c r="H20" s="8" t="str">
        <f t="shared" si="0"/>
        <v>—</v>
      </c>
      <c r="I20" s="3"/>
    </row>
    <row r="21" spans="1:9" ht="16.5" customHeight="1" x14ac:dyDescent="0.25">
      <c r="B21" s="5" t="s">
        <v>54</v>
      </c>
      <c r="D21" s="3"/>
      <c r="F21" s="3"/>
      <c r="H21" s="8" t="str">
        <f t="shared" si="0"/>
        <v>—</v>
      </c>
      <c r="I21" s="3"/>
    </row>
    <row r="22" spans="1:9" ht="19.5" customHeight="1" x14ac:dyDescent="0.25">
      <c r="B22" s="10" t="s">
        <v>55</v>
      </c>
      <c r="D22" s="11">
        <f>SUM(D15:D21)</f>
        <v>0</v>
      </c>
      <c r="F22" s="11">
        <f>SUM(F15:F21)</f>
        <v>0</v>
      </c>
      <c r="H22" s="11" t="str">
        <f t="shared" si="0"/>
        <v>—</v>
      </c>
      <c r="I22" s="15"/>
    </row>
    <row r="23" spans="1:9" ht="6" customHeight="1" x14ac:dyDescent="0.25"/>
    <row r="24" spans="1:9" ht="19.5" customHeight="1" x14ac:dyDescent="0.25">
      <c r="A24" s="36" t="s">
        <v>113</v>
      </c>
      <c r="B24" s="36"/>
      <c r="C24" s="36"/>
      <c r="D24" s="36"/>
      <c r="E24" s="36"/>
      <c r="F24" s="36"/>
      <c r="G24" s="36"/>
      <c r="H24" s="36"/>
      <c r="I24" s="36"/>
    </row>
    <row r="25" spans="1:9" ht="18" customHeight="1" x14ac:dyDescent="0.25">
      <c r="B25" s="12" t="s">
        <v>57</v>
      </c>
      <c r="D25" s="37" t="s">
        <v>100</v>
      </c>
      <c r="E25" s="37"/>
      <c r="F25" s="37"/>
      <c r="G25" s="37"/>
      <c r="H25" s="37"/>
      <c r="I25" s="37"/>
    </row>
    <row r="26" spans="1:9" ht="25.5" customHeight="1" x14ac:dyDescent="0.25">
      <c r="B26" s="13" t="s">
        <v>114</v>
      </c>
      <c r="D26" s="35" t="s">
        <v>60</v>
      </c>
      <c r="E26" s="35"/>
      <c r="F26" s="35"/>
      <c r="G26" s="35"/>
      <c r="H26" s="35"/>
      <c r="I26" s="35"/>
    </row>
    <row r="27" spans="1:9" ht="25.5" customHeight="1" x14ac:dyDescent="0.25">
      <c r="B27" s="13" t="s">
        <v>115</v>
      </c>
      <c r="D27" s="35" t="s">
        <v>60</v>
      </c>
      <c r="E27" s="35"/>
      <c r="F27" s="35"/>
      <c r="G27" s="35"/>
      <c r="H27" s="35"/>
      <c r="I27" s="35"/>
    </row>
    <row r="28" spans="1:9" ht="25.5" customHeight="1" x14ac:dyDescent="0.25">
      <c r="B28" s="13" t="s">
        <v>64</v>
      </c>
      <c r="D28" s="35" t="s">
        <v>60</v>
      </c>
      <c r="E28" s="35"/>
      <c r="F28" s="35"/>
      <c r="G28" s="35"/>
      <c r="H28" s="35"/>
      <c r="I28" s="35"/>
    </row>
    <row r="29" spans="1:9" ht="25.5" customHeight="1" x14ac:dyDescent="0.25">
      <c r="B29" s="13" t="s">
        <v>65</v>
      </c>
      <c r="D29" s="35" t="s">
        <v>60</v>
      </c>
      <c r="E29" s="35"/>
      <c r="F29" s="35"/>
      <c r="G29" s="35"/>
      <c r="H29" s="35"/>
      <c r="I29" s="35"/>
    </row>
    <row r="30" spans="1:9" ht="7.5" customHeight="1" x14ac:dyDescent="0.25"/>
    <row r="31" spans="1:9" ht="15.75" customHeight="1" x14ac:dyDescent="0.25">
      <c r="A31" s="30" t="s">
        <v>101</v>
      </c>
      <c r="B31" s="30"/>
      <c r="C31" s="30"/>
      <c r="D31" s="30"/>
      <c r="E31" s="30"/>
      <c r="F31" s="30"/>
      <c r="G31" s="30"/>
      <c r="H31" s="30"/>
      <c r="I31" s="30"/>
    </row>
  </sheetData>
  <mergeCells count="14">
    <mergeCell ref="A1:I1"/>
    <mergeCell ref="A2:I2"/>
    <mergeCell ref="D3:I3"/>
    <mergeCell ref="D4:I4"/>
    <mergeCell ref="D5:I5"/>
    <mergeCell ref="D27:I27"/>
    <mergeCell ref="D28:I28"/>
    <mergeCell ref="D29:I29"/>
    <mergeCell ref="A31:I31"/>
    <mergeCell ref="A7:I7"/>
    <mergeCell ref="A13:I13"/>
    <mergeCell ref="A24:I24"/>
    <mergeCell ref="D25:I25"/>
    <mergeCell ref="D26:I26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10</vt:i4>
      </vt:variant>
    </vt:vector>
  </HeadingPairs>
  <TitlesOfParts>
    <vt:vector size="21" baseType="lpstr">
      <vt:lpstr>ТЗ и описание</vt:lpstr>
      <vt:lpstr>Арсенал (Д)</vt:lpstr>
      <vt:lpstr>Арсенал (Н)</vt:lpstr>
      <vt:lpstr>Реф.сервис (Д)</vt:lpstr>
      <vt:lpstr>Реф.сервис (Н)</vt:lpstr>
      <vt:lpstr>Шаркер (Д)</vt:lpstr>
      <vt:lpstr>Шаркер (Н)</vt:lpstr>
      <vt:lpstr>ЦКР (Д)</vt:lpstr>
      <vt:lpstr>ЦКР (Н)</vt:lpstr>
      <vt:lpstr>Мойка (Д)</vt:lpstr>
      <vt:lpstr>Мойка (Н)</vt:lpstr>
      <vt:lpstr>'Арсенал (Д)'!Область_печати</vt:lpstr>
      <vt:lpstr>'Арсенал (Н)'!Область_печати</vt:lpstr>
      <vt:lpstr>'Мойка (Д)'!Область_печати</vt:lpstr>
      <vt:lpstr>'Мойка (Н)'!Область_печати</vt:lpstr>
      <vt:lpstr>'Реф.сервис (Д)'!Область_печати</vt:lpstr>
      <vt:lpstr>'Реф.сервис (Н)'!Область_печати</vt:lpstr>
      <vt:lpstr>'ЦКР (Д)'!Область_печати</vt:lpstr>
      <vt:lpstr>'ЦКР (Н)'!Область_печати</vt:lpstr>
      <vt:lpstr>'Шаркер (Д)'!Область_печати</vt:lpstr>
      <vt:lpstr>'Шаркер (Н)'!Область_печати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Анна Александровна Иванова</cp:lastModifiedBy>
  <cp:revision>0</cp:revision>
  <dcterms:created xsi:type="dcterms:W3CDTF">2026-06-18T19:26:46Z</dcterms:created>
  <dcterms:modified xsi:type="dcterms:W3CDTF">2026-06-26T10:33:38Z</dcterms:modified>
  <dc:language>en-US</dc:language>
</cp:coreProperties>
</file>